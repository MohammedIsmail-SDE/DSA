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Stock Summa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&quot;&quot;0"/>
    <numFmt numFmtId="165" formatCode="&quot;&quot;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49" fontId="1" fillId="0" borderId="2" applyAlignment="1" pivotButton="0" quotePrefix="0" xfId="0">
      <alignment vertical="top"/>
    </xf>
    <xf numFmtId="0" fontId="0" fillId="0" borderId="3" pivotButton="0" quotePrefix="0" xfId="0"/>
    <xf numFmtId="49" fontId="0" fillId="0" borderId="2" applyAlignment="1" pivotButton="0" quotePrefix="0" xfId="0">
      <alignment vertical="top"/>
    </xf>
    <xf numFmtId="49" fontId="1" fillId="0" borderId="4" applyAlignment="1" pivotButton="0" quotePrefix="0" xfId="0">
      <alignment vertical="top"/>
    </xf>
    <xf numFmtId="164" fontId="1" fillId="0" borderId="5" applyAlignment="1" pivotButton="0" quotePrefix="0" xfId="0">
      <alignment horizontal="center" vertical="top"/>
    </xf>
    <xf numFmtId="0" fontId="0" fillId="0" borderId="6" pivotButton="0" quotePrefix="0" xfId="0"/>
    <xf numFmtId="49" fontId="1" fillId="0" borderId="7" applyAlignment="1" pivotButton="0" quotePrefix="0" xfId="0">
      <alignment vertical="top"/>
    </xf>
    <xf numFmtId="164" fontId="0" fillId="0" borderId="8" applyAlignment="1" pivotButton="0" quotePrefix="0" xfId="0">
      <alignment horizontal="center" vertical="top"/>
    </xf>
    <xf numFmtId="0" fontId="0" fillId="0" borderId="9" pivotButton="0" quotePrefix="0" xfId="0"/>
    <xf numFmtId="49" fontId="1" fillId="2" borderId="10" applyAlignment="1" pivotButton="0" quotePrefix="0" xfId="0">
      <alignment horizontal="center" vertical="center"/>
    </xf>
    <xf numFmtId="49" fontId="1" fillId="2" borderId="11" applyAlignment="1" pivotButton="0" quotePrefix="0" xfId="0">
      <alignment horizontal="center" vertical="center"/>
    </xf>
    <xf numFmtId="49" fontId="1" fillId="2" borderId="12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4" fontId="1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tabSelected="1" workbookViewId="0">
      <selection activeCell="I7" sqref="I7"/>
    </sheetView>
  </sheetViews>
  <sheetFormatPr baseColWidth="8" defaultColWidth="9.109375" defaultRowHeight="14.4"/>
  <cols>
    <col width="72.44140625" bestFit="1" customWidth="1" style="1" min="1" max="1"/>
    <col width="8.33203125" bestFit="1" customWidth="1" style="22" min="2" max="2"/>
    <col width="9.5546875" bestFit="1" customWidth="1" style="22" min="3" max="3"/>
    <col width="10" bestFit="1" customWidth="1" style="1" min="4" max="4"/>
    <col width="9.109375" customWidth="1" style="1" min="5" max="5"/>
    <col width="9.109375" customWidth="1" style="1" min="6" max="16384"/>
  </cols>
  <sheetData>
    <row r="1" ht="15" customHeight="1" s="1" thickBot="1">
      <c r="A1" s="14" t="inlineStr">
        <is>
          <t>Stock Summary</t>
        </is>
      </c>
      <c r="B1" s="17" t="inlineStr">
        <is>
          <t>Quantity</t>
        </is>
      </c>
      <c r="C1" s="15" t="inlineStr">
        <is>
          <t>Basic</t>
        </is>
      </c>
      <c r="D1" s="16" t="inlineStr">
        <is>
          <t>total_price</t>
        </is>
      </c>
    </row>
    <row r="2">
      <c r="A2" s="11" t="inlineStr">
        <is>
          <t>CARRIER AIRCONDITIONING CASSETTE AC</t>
        </is>
      </c>
      <c r="B2" s="18" t="n"/>
      <c r="C2" s="23" t="n"/>
      <c r="D2" s="13" t="n"/>
    </row>
    <row r="3">
      <c r="A3" s="7" t="inlineStr">
        <is>
          <t>40GKX-024EA+51MSG 2.0TR CARRIER CASSETTE AC</t>
        </is>
      </c>
      <c r="B3" s="19" t="n">
        <v>4</v>
      </c>
      <c r="C3" s="24" t="n">
        <v>65932</v>
      </c>
      <c r="D3" s="6" t="n"/>
    </row>
    <row r="4">
      <c r="A4" s="7" t="inlineStr">
        <is>
          <t>40GKX045EA+51MSG-045ER3A CARRIER 4.0TR CASSETTE AC</t>
        </is>
      </c>
      <c r="B4" s="19" t="n">
        <v>3</v>
      </c>
      <c r="C4" s="24">
        <f>B4*C4</f>
        <v/>
      </c>
      <c r="D4" s="6">
        <f>B4*C4</f>
        <v/>
      </c>
    </row>
    <row r="5">
      <c r="A5" s="5" t="inlineStr">
        <is>
          <t>CARRIER MIDEA CASSETTE AC</t>
        </is>
      </c>
      <c r="B5" s="20" t="n"/>
      <c r="C5" s="25">
        <f>B5*C5</f>
        <v/>
      </c>
      <c r="D5" s="6">
        <f>B5*C5</f>
        <v/>
      </c>
    </row>
    <row r="6">
      <c r="A6" s="7" t="inlineStr">
        <is>
          <t>MCAA018RY1CR3S 1.5TR CARRIER MIDEA NON INVERTER CASSETTE AC</t>
        </is>
      </c>
      <c r="B6" s="19" t="n">
        <v>1</v>
      </c>
      <c r="C6" s="24">
        <f>B6*C6</f>
        <v/>
      </c>
      <c r="D6" s="6">
        <f>B6*C6</f>
        <v/>
      </c>
    </row>
    <row r="7">
      <c r="A7" s="7" t="inlineStr">
        <is>
          <t>MCAA024RY1CR3S 2.0TR CARRIER MIDEA NON INVERTER CASSETTE AC</t>
        </is>
      </c>
      <c r="B7" s="19" t="n">
        <v>6</v>
      </c>
      <c r="C7" s="24">
        <f>B7*C7</f>
        <v/>
      </c>
      <c r="D7" s="6">
        <f>B7*C7</f>
        <v/>
      </c>
    </row>
    <row r="8">
      <c r="A8" s="7" t="inlineStr">
        <is>
          <t>MCAA042RY1CRT 42K 1STAR CARRIER MIDEA 3.5TR CASSETTE AC</t>
        </is>
      </c>
      <c r="B8" s="19" t="n">
        <v>1</v>
      </c>
      <c r="C8" s="24">
        <f>B8*C8</f>
        <v/>
      </c>
      <c r="D8" s="6">
        <f>B8*C8</f>
        <v/>
      </c>
    </row>
    <row r="9">
      <c r="A9" s="5" t="inlineStr">
        <is>
          <t>CARRIER MIDEA SPLIT AC 3 STAR</t>
        </is>
      </c>
      <c r="B9" s="20" t="n"/>
      <c r="C9" s="25">
        <f>B9*C9</f>
        <v/>
      </c>
      <c r="D9" s="6">
        <f>B9*C9</f>
        <v/>
      </c>
    </row>
    <row r="10">
      <c r="A10" s="7" t="inlineStr">
        <is>
          <t>MAI12SD3R3F0 12K SANTIS NEO DLX INVERTER 3 STAR  AC</t>
        </is>
      </c>
      <c r="B10" s="19" t="n">
        <v>6</v>
      </c>
      <c r="C10" s="24">
        <f>B10*C10</f>
        <v/>
      </c>
      <c r="D10" s="6">
        <f>B10*C10</f>
        <v/>
      </c>
    </row>
    <row r="11">
      <c r="A11" s="7" t="inlineStr">
        <is>
          <t>MAI18SD3R35F0 18K SANTIS NEO DLX INVERTER 3 STAR MIDEA SPLIT AC</t>
        </is>
      </c>
      <c r="B11" s="19" t="n">
        <v>8</v>
      </c>
      <c r="C11" s="24">
        <f>B11*C11</f>
        <v/>
      </c>
      <c r="D11" s="6">
        <f>B11*C11</f>
        <v/>
      </c>
    </row>
    <row r="12">
      <c r="A12" s="7" t="inlineStr">
        <is>
          <t>MAI24SD3R34F0 24K SANTIS NEO DLX 2.0TR INVERTER  MIDEA AC</t>
        </is>
      </c>
      <c r="B12" s="19" t="n">
        <v>10</v>
      </c>
      <c r="C12" s="24">
        <f>B12*C12</f>
        <v/>
      </c>
      <c r="D12" s="6">
        <f>B12*C12</f>
        <v/>
      </c>
    </row>
    <row r="13">
      <c r="A13" s="5" t="inlineStr">
        <is>
          <t>CARRIER MIDEA TOWER AC</t>
        </is>
      </c>
      <c r="B13" s="20" t="n"/>
      <c r="C13" s="25">
        <f>B13*C13</f>
        <v/>
      </c>
      <c r="D13" s="6">
        <f>B13*C13</f>
        <v/>
      </c>
    </row>
    <row r="14">
      <c r="A14" s="7" t="inlineStr">
        <is>
          <t>MFSA036RY0CR3T CARRIER MIDEA 3.0TR TOWER AC</t>
        </is>
      </c>
      <c r="B14" s="19" t="n">
        <v>1</v>
      </c>
      <c r="C14" s="24">
        <f>B14*C14</f>
        <v/>
      </c>
      <c r="D14" s="6">
        <f>B14*C14</f>
        <v/>
      </c>
    </row>
    <row r="15">
      <c r="A15" s="7" t="inlineStr">
        <is>
          <t>MFSA048RY0CR3T CARRIER MIDEA 4.0TR TOWER AC</t>
        </is>
      </c>
      <c r="B15" s="19" t="n">
        <v>1</v>
      </c>
      <c r="C15" s="24">
        <f>B15*C15</f>
        <v/>
      </c>
      <c r="D15" s="6">
        <f>B15*C15</f>
        <v/>
      </c>
    </row>
    <row r="16">
      <c r="A16" s="5" t="inlineStr">
        <is>
          <t>CARRIER NON INVERTER SPLIT AC</t>
        </is>
      </c>
      <c r="B16" s="20" t="n"/>
      <c r="C16" s="25">
        <f>B16*C16</f>
        <v/>
      </c>
      <c r="D16" s="6">
        <f>B16*C16</f>
        <v/>
      </c>
    </row>
    <row r="17">
      <c r="A17" s="7" t="inlineStr">
        <is>
          <t>CAS19IN3R35F0 19K INDUS FX 1.5TR NON-INV 3 STAR CARRIER</t>
        </is>
      </c>
      <c r="B17" s="19" t="n">
        <v>12</v>
      </c>
      <c r="C17" s="24">
        <f>B17*C17</f>
        <v/>
      </c>
      <c r="D17" s="6">
        <f>B17*C17</f>
        <v/>
      </c>
    </row>
    <row r="18">
      <c r="A18" s="7" t="inlineStr">
        <is>
          <t>CAS24DH3R33F0 24K DURAWHITE Ex  2.0TR NON INV 3 STAR</t>
        </is>
      </c>
      <c r="B18" s="19" t="n">
        <v>6</v>
      </c>
      <c r="C18" s="24">
        <f>B18*C18</f>
        <v/>
      </c>
      <c r="D18" s="6">
        <f>B18*C18</f>
        <v/>
      </c>
    </row>
    <row r="19">
      <c r="A19" s="7" t="inlineStr">
        <is>
          <t>CAS24IN3R32F0 24K INDUS Dx 2.0TR NON INVERTER 3STAR</t>
        </is>
      </c>
      <c r="B19" s="19" t="n">
        <v>1</v>
      </c>
      <c r="C19" s="24">
        <f>B19*C19</f>
        <v/>
      </c>
      <c r="D19" s="6">
        <f>B19*C19</f>
        <v/>
      </c>
    </row>
    <row r="20">
      <c r="A20" s="5" t="inlineStr">
        <is>
          <t>CARRIER  SPLIT AC INVERTER 3 STAR</t>
        </is>
      </c>
      <c r="B20" s="20" t="n"/>
      <c r="C20" s="25">
        <f>B20*C20</f>
        <v/>
      </c>
      <c r="D20" s="6">
        <f>B20*C20</f>
        <v/>
      </c>
    </row>
    <row r="21">
      <c r="A21" s="7" t="inlineStr">
        <is>
          <t>CAI12CL3R35F0 12K XCEL LUMO FXI ALPHA HYDRIDJET INVERTER 3 STAR SPLIT AC</t>
        </is>
      </c>
      <c r="B21" s="19" t="n">
        <v>6</v>
      </c>
      <c r="C21" s="24">
        <f>B21*C21</f>
        <v/>
      </c>
      <c r="D21" s="6">
        <f>B21*C21</f>
        <v/>
      </c>
    </row>
    <row r="22">
      <c r="A22" s="7" t="inlineStr">
        <is>
          <t>CAI18CE3R34F0 18K XCEL EDGE EXi 1.5TR INVERTER 3 STAR</t>
        </is>
      </c>
      <c r="B22" s="19" t="n">
        <v>2</v>
      </c>
      <c r="C22" s="24">
        <f>B22*C22</f>
        <v/>
      </c>
      <c r="D22" s="6">
        <f>B22*C22</f>
        <v/>
      </c>
    </row>
    <row r="23">
      <c r="A23" s="7" t="inlineStr">
        <is>
          <t>CAI18XE3R33F1 18K XTREAM EDGE DXi 1.5TR  INV 3 STAR</t>
        </is>
      </c>
      <c r="B23" s="19" t="n">
        <v>1</v>
      </c>
      <c r="C23" s="24">
        <f>B23*C23</f>
        <v/>
      </c>
      <c r="D23" s="6">
        <f>B23*C23</f>
        <v/>
      </c>
    </row>
    <row r="24">
      <c r="A24" s="7" t="inlineStr">
        <is>
          <t>CAI19CL3R35F0 19K XCEL LUMO FXI ALPHA INVERTER 3 STAR SPLIT AC CARRIER</t>
        </is>
      </c>
      <c r="B24" s="19" t="n">
        <v>10</v>
      </c>
      <c r="C24" s="24">
        <f>B24*C24</f>
        <v/>
      </c>
      <c r="D24" s="6">
        <f>B24*C24</f>
        <v/>
      </c>
    </row>
    <row r="25">
      <c r="A25" s="7" t="inlineStr">
        <is>
          <t>CAI24DH3R32F0 24K DURAWHITE DXi 2.0TR INV 3 STAR</t>
        </is>
      </c>
      <c r="B25" s="19" t="n">
        <v>4</v>
      </c>
      <c r="C25" s="24">
        <f>B25*C25</f>
        <v/>
      </c>
      <c r="D25" s="6">
        <f>B25*C25</f>
        <v/>
      </c>
    </row>
    <row r="26">
      <c r="A26" s="7" t="inlineStr">
        <is>
          <t>CAI24PL3R35F0 24K XPERT LUMO FXI ALPHA HYBRIDJET INV 3 STAR CARRIER SPLIT AC</t>
        </is>
      </c>
      <c r="B26" s="19" t="n">
        <v>14</v>
      </c>
      <c r="C26" s="24">
        <f>B26*C26</f>
        <v/>
      </c>
      <c r="D26" s="6">
        <f>B26*C26</f>
        <v/>
      </c>
    </row>
    <row r="27">
      <c r="A27" s="5" t="inlineStr">
        <is>
          <t>CARRIER SPLIT AC INVERTER 5 STAR</t>
        </is>
      </c>
      <c r="B27" s="20" t="n"/>
      <c r="C27" s="25">
        <f>B27*C27</f>
        <v/>
      </c>
      <c r="D27" s="6">
        <f>B27*C27</f>
        <v/>
      </c>
    </row>
    <row r="28">
      <c r="A28" s="7" t="inlineStr">
        <is>
          <t>CAI19EE5R35W0 19K ESTER EDGEFXI WIFI INVERTER  CARRIER 5STAR</t>
        </is>
      </c>
      <c r="B28" s="19" t="n">
        <v>2</v>
      </c>
      <c r="C28" s="24">
        <f>B28*C28</f>
        <v/>
      </c>
      <c r="D28" s="6">
        <f>B28*C28</f>
        <v/>
      </c>
    </row>
    <row r="29">
      <c r="A29" s="7" t="inlineStr">
        <is>
          <t>CAI20IN5R35W0 20K INDUS SMART ALPHA INVERTER 5 STAR SPLIT AC CARRIER</t>
        </is>
      </c>
      <c r="B29" s="19" t="n">
        <v>4</v>
      </c>
      <c r="C29" s="24">
        <f>B29*C29</f>
        <v/>
      </c>
      <c r="D29" s="6">
        <f>B29*C29</f>
        <v/>
      </c>
    </row>
    <row r="30">
      <c r="A30" s="5" t="inlineStr">
        <is>
          <t>CARRIER WINDOW AC</t>
        </is>
      </c>
      <c r="B30" s="20" t="n"/>
      <c r="C30" s="25">
        <f>B30*C30</f>
        <v/>
      </c>
      <c r="D30" s="6">
        <f>B30*C30</f>
        <v/>
      </c>
    </row>
    <row r="31">
      <c r="A31" s="7" t="inlineStr">
        <is>
          <t>CAW19EC3R35F0 19K ESTRELLA FX 1.6TR  NON-INV WINDOW AC</t>
        </is>
      </c>
      <c r="B31" s="19" t="n">
        <v>4</v>
      </c>
      <c r="C31" s="24">
        <f>B31*C31</f>
        <v/>
      </c>
      <c r="D31" s="6">
        <f>B31*C31</f>
        <v/>
      </c>
    </row>
    <row r="32">
      <c r="A32" s="5" t="inlineStr">
        <is>
          <t>HITACHI CASSETTE AC</t>
        </is>
      </c>
      <c r="B32" s="20" t="n"/>
      <c r="C32" s="25">
        <f>B32*C32</f>
        <v/>
      </c>
      <c r="D32" s="6">
        <f>B32*C32</f>
        <v/>
      </c>
    </row>
    <row r="33">
      <c r="A33" s="7" t="inlineStr">
        <is>
          <t>RAG136HGDA3Q 3.0TR HITACHI CASSETTE AC</t>
        </is>
      </c>
      <c r="B33" s="19" t="n">
        <v>1</v>
      </c>
      <c r="C33" s="24">
        <f>B33*C33</f>
        <v/>
      </c>
      <c r="D33" s="6">
        <f>B33*C33</f>
        <v/>
      </c>
    </row>
    <row r="34">
      <c r="A34" s="7" t="inlineStr">
        <is>
          <t>RAG222HGDOQ 2.0TR HITACHI CASSETTE AC</t>
        </is>
      </c>
      <c r="B34" s="19" t="n">
        <v>4</v>
      </c>
      <c r="C34" s="24">
        <f>B34*C34</f>
        <v/>
      </c>
      <c r="D34" s="6">
        <f>B34*C34</f>
        <v/>
      </c>
    </row>
    <row r="35">
      <c r="A35" s="5" t="inlineStr">
        <is>
          <t>HITACHI DUCTABLE</t>
        </is>
      </c>
      <c r="B35" s="20" t="n"/>
      <c r="C35" s="25">
        <f>B35*C35</f>
        <v/>
      </c>
      <c r="D35" s="6">
        <f>B35*C35</f>
        <v/>
      </c>
    </row>
    <row r="36">
      <c r="A36" s="7" t="inlineStr">
        <is>
          <t>PAG066SSHDDA3 HITACHI 5.5TR DUCT AC</t>
        </is>
      </c>
      <c r="B36" s="19" t="n">
        <v>1</v>
      </c>
      <c r="C36" s="24">
        <f>B36*C36</f>
        <v/>
      </c>
      <c r="D36" s="6">
        <f>B36*C36</f>
        <v/>
      </c>
    </row>
    <row r="37">
      <c r="A37" s="7" t="inlineStr">
        <is>
          <t>PAI102HWD3Z1 8.5TR DUCTABLE AC INDOOR</t>
        </is>
      </c>
      <c r="B37" s="19" t="n">
        <v>1</v>
      </c>
      <c r="C37" s="24">
        <f>B37*C37</f>
        <v/>
      </c>
      <c r="D37" s="6">
        <f>B37*C37</f>
        <v/>
      </c>
    </row>
    <row r="38">
      <c r="A38" s="5" t="inlineStr">
        <is>
          <t>HITACHI INVERTER 3 STAR</t>
        </is>
      </c>
      <c r="B38" s="20" t="n"/>
      <c r="C38" s="25">
        <f>B38*C38</f>
        <v/>
      </c>
      <c r="D38" s="6">
        <f>B38*C38</f>
        <v/>
      </c>
    </row>
    <row r="39">
      <c r="A39" s="7" t="inlineStr">
        <is>
          <t>RAS.E318PCCIB HITACHI 1.5TR INVERTER 3 STAR SPLIT AC TOUSHI PLUS</t>
        </is>
      </c>
      <c r="B39" s="19" t="n">
        <v>5</v>
      </c>
      <c r="C39" s="24">
        <f>B39*C39</f>
        <v/>
      </c>
      <c r="D39" s="6">
        <f>B39*C39</f>
        <v/>
      </c>
    </row>
    <row r="40">
      <c r="A40" s="7" t="inlineStr">
        <is>
          <t>RAS.G312PCAISF HITACHI 1.0TR INVERTER 3 STAR IZEN</t>
        </is>
      </c>
      <c r="B40" s="19" t="n">
        <v>3</v>
      </c>
      <c r="C40" s="24">
        <f>B40*C40</f>
        <v/>
      </c>
      <c r="D40" s="6">
        <f>B40*C40</f>
        <v/>
      </c>
    </row>
    <row r="41">
      <c r="A41" s="7" t="inlineStr">
        <is>
          <t>RAS.G318PCCISS HITACHI 1.5TR 4WAY FW IZEN 3STAR SPLIT AC</t>
        </is>
      </c>
      <c r="B41" s="19" t="n">
        <v>3</v>
      </c>
      <c r="C41" s="24">
        <f>B41*C41</f>
        <v/>
      </c>
      <c r="D41" s="6">
        <f>B41*C41</f>
        <v/>
      </c>
    </row>
    <row r="42">
      <c r="A42" s="7" t="inlineStr">
        <is>
          <t>RAS.G322PCBISS 2.0TR HITACHI INVERTER 3 STAR 4 WAY IZEN</t>
        </is>
      </c>
      <c r="B42" s="19" t="n">
        <v>9</v>
      </c>
      <c r="C42" s="24">
        <f>B42*C42</f>
        <v/>
      </c>
      <c r="D42" s="6">
        <f>B42*C42</f>
        <v/>
      </c>
    </row>
    <row r="43">
      <c r="A43" s="5" t="inlineStr">
        <is>
          <t>HITACHI INVERTER 4 STAR</t>
        </is>
      </c>
      <c r="B43" s="20" t="n"/>
      <c r="C43" s="25">
        <f>B43*C43</f>
        <v/>
      </c>
      <c r="D43" s="6">
        <f>B43*C43</f>
        <v/>
      </c>
    </row>
    <row r="44">
      <c r="A44" s="7" t="inlineStr">
        <is>
          <t>RAS.V422PCAISH HITACHI 2.0TR INVERTER 4 STAR WIFI ENABLED</t>
        </is>
      </c>
      <c r="B44" s="19" t="n">
        <v>1</v>
      </c>
      <c r="C44" s="24">
        <f>B44*C44</f>
        <v/>
      </c>
      <c r="D44" s="6">
        <f>B44*C44</f>
        <v/>
      </c>
    </row>
    <row r="45">
      <c r="A45" s="5" t="inlineStr">
        <is>
          <t>HITACHI INVERTER 5 STAR</t>
        </is>
      </c>
      <c r="B45" s="20" t="n"/>
      <c r="C45" s="25">
        <f>B45*C45</f>
        <v/>
      </c>
      <c r="D45" s="6">
        <f>B45*C45</f>
        <v/>
      </c>
    </row>
    <row r="46">
      <c r="A46" s="7" t="inlineStr">
        <is>
          <t>RAS.E518PCBIB HITACHI 1.5TR INVERTER 5 STAR TOUSHI PLUS</t>
        </is>
      </c>
      <c r="B46" s="19" t="n">
        <v>3</v>
      </c>
      <c r="C46" s="24">
        <f>B46*C46</f>
        <v/>
      </c>
      <c r="D46" s="6">
        <f>B46*C46</f>
        <v/>
      </c>
    </row>
    <row r="47">
      <c r="A47" s="7" t="inlineStr">
        <is>
          <t>RAS.E518PCCIB HITACHI 1.5TR INVERTER TOUSHI PLUS 5 STAR SPLIT AC</t>
        </is>
      </c>
      <c r="B47" s="19" t="n">
        <v>13</v>
      </c>
      <c r="C47" s="24">
        <f>B47*C47</f>
        <v/>
      </c>
      <c r="D47" s="6">
        <f>B47*C47</f>
        <v/>
      </c>
    </row>
    <row r="48">
      <c r="A48" s="7" t="inlineStr">
        <is>
          <t>RAS.G518PCBISF HITACHI 1.5TR INVERTER 5 STAR YOSHI</t>
        </is>
      </c>
      <c r="B48" s="19" t="n">
        <v>5</v>
      </c>
      <c r="C48" s="24">
        <f>B48*C48</f>
        <v/>
      </c>
      <c r="D48" s="6">
        <f>B48*C48</f>
        <v/>
      </c>
    </row>
    <row r="49">
      <c r="A49" s="7" t="inlineStr">
        <is>
          <t>RAS.G518PCBISS HITACHI 1.5TR INVERTER 5 STAR YOSHI-4 WAY</t>
        </is>
      </c>
      <c r="B49" s="19" t="n">
        <v>16</v>
      </c>
      <c r="C49" s="24">
        <f>B49*C49</f>
        <v/>
      </c>
      <c r="D49" s="6">
        <f>B49*C49</f>
        <v/>
      </c>
    </row>
    <row r="50">
      <c r="A50" s="7" t="inlineStr">
        <is>
          <t>RAS.V518PCCISH1 HITACHI 1.5TR INVERTER  SPLIT AC YOSHI</t>
        </is>
      </c>
      <c r="B50" s="19" t="n">
        <v>6</v>
      </c>
      <c r="C50" s="24">
        <f>B50*C50</f>
        <v/>
      </c>
      <c r="D50" s="6">
        <f>B50*C50</f>
        <v/>
      </c>
    </row>
    <row r="51">
      <c r="A51" s="7" t="inlineStr">
        <is>
          <t>RAS.V522PCBISH1 HITACHI 2.0TR INVERTER 5 STAR YOSHI</t>
        </is>
      </c>
      <c r="B51" s="19" t="n">
        <v>1</v>
      </c>
      <c r="C51" s="24">
        <f>B51*C51</f>
        <v/>
      </c>
      <c r="D51" s="6">
        <f>B51*C51</f>
        <v/>
      </c>
    </row>
    <row r="52">
      <c r="A52" s="7" t="inlineStr">
        <is>
          <t>RAS.Y518PCAISL1  HITACHI 1.5TR INVERTER 5 STAR YOSHI</t>
        </is>
      </c>
      <c r="B52" s="19" t="n">
        <v>1</v>
      </c>
      <c r="C52" s="24">
        <f>B52*C52</f>
        <v/>
      </c>
      <c r="D52" s="6">
        <f>B52*C52</f>
        <v/>
      </c>
    </row>
    <row r="53">
      <c r="A53" s="7" t="inlineStr">
        <is>
          <t>RMA524CBEA 2.0Tr INVERTER 5 STAR</t>
        </is>
      </c>
      <c r="B53" s="19" t="n">
        <v>1</v>
      </c>
      <c r="C53" s="24">
        <f>B53*C53</f>
        <v/>
      </c>
      <c r="D53" s="6">
        <f>B53*C53</f>
        <v/>
      </c>
    </row>
    <row r="54">
      <c r="A54" s="7" t="inlineStr">
        <is>
          <t>RSRG518HEEA 1.5Tr INVERTER 5 STAR</t>
        </is>
      </c>
      <c r="B54" s="19" t="n">
        <v>1</v>
      </c>
      <c r="C54" s="24">
        <f>B54*C54</f>
        <v/>
      </c>
      <c r="D54" s="6">
        <f>B54*C54</f>
        <v/>
      </c>
    </row>
    <row r="55">
      <c r="A55" s="5" t="inlineStr">
        <is>
          <t>HITACHI INVERTER CASSETTE AC</t>
        </is>
      </c>
      <c r="B55" s="20" t="n"/>
      <c r="C55" s="25">
        <f>B55*C55</f>
        <v/>
      </c>
      <c r="D55" s="6">
        <f>B55*C55</f>
        <v/>
      </c>
    </row>
    <row r="56">
      <c r="A56" s="7" t="inlineStr">
        <is>
          <t>RAG436HGEOO HITACHI 3.0TR INVERTER CASSETTE AC</t>
        </is>
      </c>
      <c r="B56" s="19" t="n">
        <v>3</v>
      </c>
      <c r="C56" s="24">
        <f>B56*C56</f>
        <v/>
      </c>
      <c r="D56" s="6">
        <f>B56*C56</f>
        <v/>
      </c>
    </row>
    <row r="57">
      <c r="A57" s="7" t="inlineStr">
        <is>
          <t>RAG522HHEOQ 2.0TR INVERTER CASSETTE HITACHI AC</t>
        </is>
      </c>
      <c r="B57" s="19" t="n">
        <v>7</v>
      </c>
      <c r="C57" s="24">
        <f>B57*C57</f>
        <v/>
      </c>
      <c r="D57" s="6">
        <f>B57*C57</f>
        <v/>
      </c>
    </row>
    <row r="58">
      <c r="A58" s="5" t="inlineStr">
        <is>
          <t>HITACHI NON INVERTER</t>
        </is>
      </c>
      <c r="B58" s="20" t="n"/>
      <c r="C58" s="25">
        <f>B58*C58</f>
        <v/>
      </c>
      <c r="D58" s="6">
        <f>B58*C58</f>
        <v/>
      </c>
    </row>
    <row r="59">
      <c r="A59" s="7" t="inlineStr">
        <is>
          <t>RAS.B222PCAIBA HITACHI 2.0TR NON INVERTER</t>
        </is>
      </c>
      <c r="B59" s="19" t="n">
        <v>3</v>
      </c>
      <c r="C59" s="24">
        <f>B59*C59</f>
        <v/>
      </c>
      <c r="D59" s="6">
        <f>B59*C59</f>
        <v/>
      </c>
    </row>
    <row r="60">
      <c r="A60" s="7" t="inlineStr">
        <is>
          <t>RAS.B312PCAIBA1 HITACHI 1.0TR NON-INVERTER 3 STAR SPLIT AC</t>
        </is>
      </c>
      <c r="B60" s="19" t="n">
        <v>2</v>
      </c>
      <c r="C60" s="24">
        <f>B60*C60</f>
        <v/>
      </c>
      <c r="D60" s="6">
        <f>B60*C60</f>
        <v/>
      </c>
    </row>
    <row r="61">
      <c r="A61" s="7" t="inlineStr">
        <is>
          <t>RAS-B318PCAIBA 1.5TR HITACHI NON INVERTER 3 STAR</t>
        </is>
      </c>
      <c r="B61" s="19" t="n">
        <v>3</v>
      </c>
      <c r="C61" s="24">
        <f>B61*C61</f>
        <v/>
      </c>
      <c r="D61" s="6">
        <f>B61*C61</f>
        <v/>
      </c>
    </row>
    <row r="62">
      <c r="A62" s="5" t="inlineStr">
        <is>
          <t>O GENERAL CASSETTE AC</t>
        </is>
      </c>
      <c r="B62" s="20" t="n"/>
      <c r="C62" s="25">
        <f>B62*C62</f>
        <v/>
      </c>
      <c r="D62" s="6">
        <f>B62*C62</f>
        <v/>
      </c>
    </row>
    <row r="63">
      <c r="A63" s="7" t="inlineStr">
        <is>
          <t>AOGA25FBTBHB 2.0TR CASSETTE AC OUTDOOR</t>
        </is>
      </c>
      <c r="B63" s="19" t="n">
        <v>1</v>
      </c>
      <c r="C63" s="24">
        <f>B63*C63</f>
        <v/>
      </c>
      <c r="D63" s="6">
        <f>B63*C63</f>
        <v/>
      </c>
    </row>
    <row r="64">
      <c r="A64" s="7" t="inlineStr">
        <is>
          <t>AUGA25FRTA-B 2.0TR CASSTTE AC INDOOR</t>
        </is>
      </c>
      <c r="B64" s="19" t="n">
        <v>1</v>
      </c>
      <c r="C64" s="24">
        <f>B64*C64</f>
        <v/>
      </c>
      <c r="D64" s="6">
        <f>B64*C64</f>
        <v/>
      </c>
    </row>
    <row r="65">
      <c r="A65" s="5" t="inlineStr">
        <is>
          <t>O GENERAL INVERTER 3 STAR SPLIT AC</t>
        </is>
      </c>
      <c r="B65" s="20" t="n"/>
      <c r="C65" s="25">
        <f>B65*C65</f>
        <v/>
      </c>
      <c r="D65" s="6">
        <f>B65*C65</f>
        <v/>
      </c>
    </row>
    <row r="66">
      <c r="A66" s="7" t="inlineStr">
        <is>
          <t>AOGA22CLWA-B 1.8TR INVERTER 3 STAR  SPLIT AC</t>
        </is>
      </c>
      <c r="B66" s="19" t="n">
        <v>1</v>
      </c>
      <c r="C66" s="24">
        <f>B66*C66</f>
        <v/>
      </c>
      <c r="D66" s="6">
        <f>B66*C66</f>
        <v/>
      </c>
    </row>
    <row r="67">
      <c r="A67" s="7" t="inlineStr">
        <is>
          <t>AOGG12CPAA-B 1.0TR INVERTER 3 STAR  SPLIT AC</t>
        </is>
      </c>
      <c r="B67" s="19" t="n">
        <v>1</v>
      </c>
      <c r="C67" s="24">
        <f>B67*C67</f>
        <v/>
      </c>
      <c r="D67" s="6">
        <f>B67*C67</f>
        <v/>
      </c>
    </row>
    <row r="68">
      <c r="A68" s="7" t="inlineStr">
        <is>
          <t>AOGG12CPAB-B 1.0TR INVERTER 3 STAR  SPLIT AC</t>
        </is>
      </c>
      <c r="B68" s="19" t="n">
        <v>3</v>
      </c>
      <c r="C68" s="24">
        <f>B68*C68</f>
        <v/>
      </c>
      <c r="D68" s="6">
        <f>B68*C68</f>
        <v/>
      </c>
    </row>
    <row r="69">
      <c r="A69" s="7" t="inlineStr">
        <is>
          <t>AOGG18CNAA-B 1.5TR INVERTER 3 STAR  SPLIT AC</t>
        </is>
      </c>
      <c r="B69" s="19" t="n">
        <v>2</v>
      </c>
      <c r="C69" s="24">
        <f>B69*C69</f>
        <v/>
      </c>
      <c r="D69" s="6">
        <f>B69*C69</f>
        <v/>
      </c>
    </row>
    <row r="70">
      <c r="A70" s="7" t="inlineStr">
        <is>
          <t>AOGG18CPAA-B 1.5TR INVERTER 3 STAR  SPLIT AC</t>
        </is>
      </c>
      <c r="B70" s="19" t="n">
        <v>1</v>
      </c>
      <c r="C70" s="24">
        <f>B70*C70</f>
        <v/>
      </c>
      <c r="D70" s="6">
        <f>B70*C70</f>
        <v/>
      </c>
    </row>
    <row r="71">
      <c r="A71" s="7" t="inlineStr">
        <is>
          <t>AOGG18CPAB-B 1.5TR INVERTER 3 STAR SPLIT AC</t>
        </is>
      </c>
      <c r="B71" s="19" t="n">
        <v>4</v>
      </c>
      <c r="C71" s="24">
        <f>B71*C71</f>
        <v/>
      </c>
      <c r="D71" s="6">
        <f>B71*C71</f>
        <v/>
      </c>
    </row>
    <row r="72">
      <c r="A72" s="7" t="inlineStr">
        <is>
          <t>AOGG24CPAB-B 2.0TR INVERTER 3 STAR SPLIT AC</t>
        </is>
      </c>
      <c r="B72" s="19" t="n">
        <v>13</v>
      </c>
      <c r="C72" s="24">
        <f>B72*C72</f>
        <v/>
      </c>
      <c r="D72" s="6">
        <f>B72*C72</f>
        <v/>
      </c>
    </row>
    <row r="73">
      <c r="A73" s="5" t="inlineStr">
        <is>
          <t>O GENERAL INVERTER 5 STAR SPLIT AC</t>
        </is>
      </c>
      <c r="B73" s="20" t="n"/>
      <c r="C73" s="25">
        <f>B73*C73</f>
        <v/>
      </c>
      <c r="D73" s="6">
        <f>B73*C73</f>
        <v/>
      </c>
    </row>
    <row r="74">
      <c r="A74" s="7" t="inlineStr">
        <is>
          <t>AOGG12CGAA-B 1.0TR INVERTER 5 STAR  SPLIT AC</t>
        </is>
      </c>
      <c r="B74" s="19" t="n">
        <v>2</v>
      </c>
      <c r="C74" s="24">
        <f>B74*C74</f>
        <v/>
      </c>
      <c r="D74" s="6">
        <f>B74*C74</f>
        <v/>
      </c>
    </row>
    <row r="75">
      <c r="A75" s="7" t="inlineStr">
        <is>
          <t>AOGG18CEAB-B 1.5TR INVERTER 5 STAR SPLIT AC</t>
        </is>
      </c>
      <c r="B75" s="19" t="n">
        <v>3</v>
      </c>
      <c r="C75" s="24">
        <f>B75*C75</f>
        <v/>
      </c>
      <c r="D75" s="6">
        <f>B75*C75</f>
        <v/>
      </c>
    </row>
    <row r="76">
      <c r="A76" s="7" t="inlineStr">
        <is>
          <t>AOGG18CETA-B 1.5TR INVERTER 5 STAR SPLIT AC</t>
        </is>
      </c>
      <c r="B76" s="19" t="n">
        <v>7</v>
      </c>
      <c r="C76" s="24">
        <f>B76*C76</f>
        <v/>
      </c>
      <c r="D76" s="6">
        <f>B76*C76</f>
        <v/>
      </c>
    </row>
    <row r="77">
      <c r="A77" s="7" t="inlineStr">
        <is>
          <t>AOGG18CGTB-B 1.5 TR INVERTER 5 STAR SPLIT AC</t>
        </is>
      </c>
      <c r="B77" s="19" t="n">
        <v>1</v>
      </c>
      <c r="C77" s="24">
        <f>B77*C77</f>
        <v/>
      </c>
      <c r="D77" s="6">
        <f>B77*C77</f>
        <v/>
      </c>
    </row>
    <row r="78">
      <c r="A78" s="7" t="inlineStr">
        <is>
          <t>AOGG24CEAB-B 2.0TR INVERTER 5 STAR SPLIT AC</t>
        </is>
      </c>
      <c r="B78" s="19" t="n">
        <v>8</v>
      </c>
      <c r="C78" s="24">
        <f>B78*C78</f>
        <v/>
      </c>
      <c r="D78" s="6">
        <f>B78*C78</f>
        <v/>
      </c>
    </row>
    <row r="79">
      <c r="A79" s="7" t="inlineStr">
        <is>
          <t>AOGG24CGTB-B 2.0TR INVERTER 5 STAR SPLIT AC</t>
        </is>
      </c>
      <c r="B79" s="19" t="n">
        <v>5</v>
      </c>
      <c r="C79" s="24">
        <f>B79*C79</f>
        <v/>
      </c>
      <c r="D79" s="6">
        <f>B79*C79</f>
        <v/>
      </c>
    </row>
    <row r="80">
      <c r="A80" s="7" t="inlineStr">
        <is>
          <t>AOSGG18CGAA-B 1.5TR INVERTER 5 STAR SPLIT AC</t>
        </is>
      </c>
      <c r="B80" s="19" t="n">
        <v>5</v>
      </c>
      <c r="C80" s="24">
        <f>B80*C80</f>
        <v/>
      </c>
      <c r="D80" s="6">
        <f>B80*C80</f>
        <v/>
      </c>
    </row>
    <row r="81">
      <c r="A81" s="5" t="inlineStr">
        <is>
          <t>O GENERAL NON INVERTER SPLIT AC</t>
        </is>
      </c>
      <c r="B81" s="20" t="n"/>
      <c r="C81" s="25">
        <f>B81*C81</f>
        <v/>
      </c>
      <c r="D81" s="6">
        <f>B81*C81</f>
        <v/>
      </c>
    </row>
    <row r="82">
      <c r="A82" s="7" t="inlineStr">
        <is>
          <t>AOGA14BMAA-B 1.2TR NON INVERTER 3 STAR SPLIT AC</t>
        </is>
      </c>
      <c r="B82" s="19" t="n">
        <v>1</v>
      </c>
      <c r="C82" s="24">
        <f>B82*C82</f>
        <v/>
      </c>
      <c r="D82" s="6">
        <f>B82*C82</f>
        <v/>
      </c>
    </row>
    <row r="83">
      <c r="A83" s="7" t="inlineStr">
        <is>
          <t>AOGA18BUAAHB 1.5TR NON INVERTER 3 STAR SPLIT  AC</t>
        </is>
      </c>
      <c r="B83" s="19" t="n">
        <v>4</v>
      </c>
      <c r="C83" s="24">
        <f>B83*C83</f>
        <v/>
      </c>
      <c r="D83" s="6">
        <f>B83*C83</f>
        <v/>
      </c>
    </row>
    <row r="84">
      <c r="A84" s="7" t="inlineStr">
        <is>
          <t>AOGA24BMAA-B O GENRAL 2.0TR NON INVERTER 3 STAR SPLIT AC</t>
        </is>
      </c>
      <c r="B84" s="19" t="n">
        <v>2</v>
      </c>
      <c r="C84" s="24">
        <f>B84*C84</f>
        <v/>
      </c>
      <c r="D84" s="6">
        <f>B84*C84</f>
        <v/>
      </c>
    </row>
    <row r="85">
      <c r="A85" s="5" t="inlineStr">
        <is>
          <t>TOSHIBA NON INVERTER SPLIT AC</t>
        </is>
      </c>
      <c r="B85" s="20" t="n"/>
      <c r="C85" s="25">
        <f>B85*C85</f>
        <v/>
      </c>
      <c r="D85" s="6">
        <f>B85*C85</f>
        <v/>
      </c>
    </row>
    <row r="86">
      <c r="A86" s="7" t="inlineStr">
        <is>
          <t>RAS-13G3*G-IN 1.0TR NON-INV 3 STAR SPLIT AC TOSHIBA</t>
        </is>
      </c>
      <c r="B86" s="19" t="n">
        <v>6</v>
      </c>
      <c r="C86" s="24">
        <f>B86*C86</f>
        <v/>
      </c>
      <c r="D86" s="6">
        <f>B86*C86</f>
        <v/>
      </c>
    </row>
    <row r="87">
      <c r="A87" s="7" t="inlineStr">
        <is>
          <t>RAS-18G3 TOSHIBHA 1.5 TR NON INVERTER 3 STAR AC</t>
        </is>
      </c>
      <c r="B87" s="19" t="n">
        <v>57</v>
      </c>
      <c r="C87" s="24">
        <f>B87*C87</f>
        <v/>
      </c>
      <c r="D87" s="6">
        <f>B87*C87</f>
        <v/>
      </c>
    </row>
    <row r="88">
      <c r="A88" s="7" t="inlineStr">
        <is>
          <t>RAS-18J2*G-IN2 NON-INV 2 STAR SPLIT TOSHIBA</t>
        </is>
      </c>
      <c r="B88" s="19" t="n">
        <v>20</v>
      </c>
      <c r="C88" s="24">
        <f>B88*C88</f>
        <v/>
      </c>
      <c r="D88" s="6">
        <f>B88*C88</f>
        <v/>
      </c>
    </row>
    <row r="89">
      <c r="A89" s="7" t="inlineStr">
        <is>
          <t>TOSHIBA RAS-24G3 2.0 TR NON INVERTER 2 STAR</t>
        </is>
      </c>
      <c r="B89" s="19" t="n">
        <v>2</v>
      </c>
      <c r="C89" s="24">
        <f>B89*C89</f>
        <v/>
      </c>
      <c r="D89" s="6">
        <f>B89*C89</f>
        <v/>
      </c>
    </row>
    <row r="90">
      <c r="A90" s="5" t="inlineStr">
        <is>
          <t>TOSHIBHA SPLIT AC INVERTER 3 STAR</t>
        </is>
      </c>
      <c r="B90" s="20" t="n"/>
      <c r="C90" s="25">
        <f>B90*C90</f>
        <v/>
      </c>
      <c r="D90" s="6">
        <f>B90*C90</f>
        <v/>
      </c>
    </row>
    <row r="91">
      <c r="A91" s="7" t="inlineStr">
        <is>
          <t>TOSHIBA RAS-18S*CV3SG 1.5TR INVERTER 3 STAR SPLIT AC</t>
        </is>
      </c>
      <c r="B91" s="19" t="n">
        <v>22</v>
      </c>
      <c r="C91" s="24">
        <f>B91*C91</f>
        <v/>
      </c>
      <c r="D91" s="6">
        <f>B91*C91</f>
        <v/>
      </c>
    </row>
    <row r="92">
      <c r="A92" s="7" t="inlineStr">
        <is>
          <t>TOSHIBA RAS-24S*CV3SG 2.0TR INVERTER 3 STAR SPLIT AC</t>
        </is>
      </c>
      <c r="B92" s="19" t="n">
        <v>5</v>
      </c>
      <c r="C92" s="24">
        <f>B92*C92</f>
        <v/>
      </c>
      <c r="D92" s="6">
        <f>B92*C92</f>
        <v/>
      </c>
    </row>
    <row r="93">
      <c r="A93" s="5" t="inlineStr">
        <is>
          <t>TOSHIBHA SPLIT AC INVERTER 5 STAR</t>
        </is>
      </c>
      <c r="B93" s="20" t="n"/>
      <c r="C93" s="25">
        <f>B93*C93</f>
        <v/>
      </c>
      <c r="D93" s="6">
        <f>B93*C93</f>
        <v/>
      </c>
    </row>
    <row r="94">
      <c r="A94" s="7" t="inlineStr">
        <is>
          <t>RAS-13G3*CV5SG 1.0TR INVERTER 5 STAR SPLIT AC TOSHIBA</t>
        </is>
      </c>
      <c r="B94" s="19" t="n">
        <v>2</v>
      </c>
      <c r="C94" s="24">
        <f>B94*C94</f>
        <v/>
      </c>
      <c r="D94" s="6">
        <f>B94*C94</f>
        <v/>
      </c>
    </row>
    <row r="95">
      <c r="A95" s="7" t="inlineStr">
        <is>
          <t>TOSHIBA RAS-18G3*CV5SG 1.5TR INVERTER 5 STAR SPLIT AC</t>
        </is>
      </c>
      <c r="B95" s="19" t="n">
        <v>52</v>
      </c>
      <c r="C95" s="24">
        <f>B95*C95</f>
        <v/>
      </c>
      <c r="D95" s="6">
        <f>B95*C95</f>
        <v/>
      </c>
    </row>
    <row r="96">
      <c r="A96" s="7" t="inlineStr">
        <is>
          <t>TOSHIBA RAS-24G3*CV5SG 2.0TR INVERTER 5 STAR</t>
        </is>
      </c>
      <c r="B96" s="19" t="n">
        <v>5</v>
      </c>
      <c r="C96" s="24">
        <f>B96*C96</f>
        <v/>
      </c>
      <c r="D96" s="6">
        <f>B96*C96</f>
        <v/>
      </c>
    </row>
    <row r="97" ht="15" customHeight="1" s="1" thickBot="1">
      <c r="A97" s="8" t="inlineStr">
        <is>
          <t>Grand Total</t>
        </is>
      </c>
      <c r="B97" s="21">
        <f>SUM(B2:B96)</f>
        <v/>
      </c>
      <c r="C97" s="26">
        <f>B97*C97</f>
        <v/>
      </c>
      <c r="D97" s="10">
        <f>B97*C97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AIRCON</dc:creator>
  <dcterms:created xsi:type="dcterms:W3CDTF">2025-09-20T08:27:17Z</dcterms:created>
  <dcterms:modified xsi:type="dcterms:W3CDTF">2026-06-17T07:44:49Z</dcterms:modified>
  <cp:lastModifiedBy>user</cp:lastModifiedBy>
</cp:coreProperties>
</file>