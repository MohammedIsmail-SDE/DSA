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SA\"/>
    </mc:Choice>
  </mc:AlternateContent>
  <bookViews>
    <workbookView xWindow="0" yWindow="0" windowWidth="23040" windowHeight="9072"/>
  </bookViews>
  <sheets>
    <sheet name="Stock Summary" sheetId="1" r:id="rId1"/>
  </sheets>
  <calcPr calcId="162913"/>
</workbook>
</file>

<file path=xl/calcChain.xml><?xml version="1.0" encoding="utf-8"?>
<calcChain xmlns="http://schemas.openxmlformats.org/spreadsheetml/2006/main">
  <c r="B97" i="1" l="1"/>
  <c r="D97" i="1" s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<sst xmlns="http://schemas.openxmlformats.org/spreadsheetml/2006/main" count="100" uniqueCount="100">
  <si>
    <t>Stock Summary</t>
  </si>
  <si>
    <t>Quantity</t>
  </si>
  <si>
    <t>Basic</t>
  </si>
  <si>
    <t>Total</t>
  </si>
  <si>
    <t>CARRIER AIRCONDITIONING CASSETTE AC</t>
  </si>
  <si>
    <t>40GKX-024EA+51MSG 2.0TR CARRIER CASSETTE AC</t>
  </si>
  <si>
    <t>40GKX045EA+51MSG-045ER3A CARRIER 4.0TR CASSETTE AC</t>
  </si>
  <si>
    <t>CARRIER MIDEA CASSETTE AC</t>
  </si>
  <si>
    <t>MCAA018RY1CR3S 1.5TR CARRIER MIDEA NON INVERTER CASSETTE AC</t>
  </si>
  <si>
    <t>MCAA024RY1CR3S 2.0TR CARRIER MIDEA NON INVERTER CASSETTE AC</t>
  </si>
  <si>
    <t>MCAA042RY1CRT 42K 1STAR CARRIER MIDEA 3.5TR CASSETTE AC</t>
  </si>
  <si>
    <t>CARRIER MIDEA SPLIT AC 3 STAR</t>
  </si>
  <si>
    <t>MAI12SD3R3F0 12K SANTIS NEO DLX INVERTER 3 STAR  AC</t>
  </si>
  <si>
    <t>MAI18SD3R35F0 18K SANTIS NEO DLX INVERTER 3 STAR MIDEA SPLIT AC</t>
  </si>
  <si>
    <t>MAI24SD3R34F0 24K SANTIS NEO DLX 2.0TR INVERTER  MIDEA AC</t>
  </si>
  <si>
    <t>CARRIER MIDEA TOWER AC</t>
  </si>
  <si>
    <t>MFSA036RY0CR3T CARRIER MIDEA 3.0TR TOWER AC</t>
  </si>
  <si>
    <t>MFSA048RY0CR3T CARRIER MIDEA 4.0TR TOWER AC</t>
  </si>
  <si>
    <t>CARRIER NON INVERTER SPLIT AC</t>
  </si>
  <si>
    <t>CAS19IN3R35F0 19K INDUS FX 1.5TR NON-INV 3 STAR CARRIER</t>
  </si>
  <si>
    <t>CAS24DH3R33F0 24K DURAWHITE Ex  2.0TR NON INV 3 STAR</t>
  </si>
  <si>
    <t>CAS24IN3R32F0 24K INDUS Dx 2.0TR NON INVERTER 3STAR</t>
  </si>
  <si>
    <t>CARRIER  SPLIT AC INVERTER 3 STAR</t>
  </si>
  <si>
    <t>CAI12CL3R35F0 12K XCEL LUMO FXI ALPHA HYDRIDJET INVERTER 3 STAR SPLIT AC</t>
  </si>
  <si>
    <t>CAI18CE3R34F0 18K XCEL EDGE EXi 1.5TR INVERTER 3 STAR</t>
  </si>
  <si>
    <t>CAI18XE3R33F1 18K XTREAM EDGE DXi 1.5TR  INV 3 STAR</t>
  </si>
  <si>
    <t>CAI19CL3R35F0 19K XCEL LUMO FXI ALPHA INVERTER 3 STAR SPLIT AC CARRIER</t>
  </si>
  <si>
    <t>CAI24DH3R32F0 24K DURAWHITE DXi 2.0TR INV 3 STAR</t>
  </si>
  <si>
    <t>CAI24PL3R35F0 24K XPERT LUMO FXI ALPHA HYBRIDJET INV 3 STAR CARRIER SPLIT AC</t>
  </si>
  <si>
    <t>CARRIER SPLIT AC INVERTER 5 STAR</t>
  </si>
  <si>
    <t>CAI19EE5R35W0 19K ESTER EDGEFXI WIFI INVERTER  CARRIER 5STAR</t>
  </si>
  <si>
    <t>CAI20IN5R35W0 20K INDUS SMART ALPHA INVERTER 5 STAR SPLIT AC CARRIER</t>
  </si>
  <si>
    <t>CARRIER WINDOW AC</t>
  </si>
  <si>
    <t>CAW19EC3R35F0 19K ESTRELLA FX 1.6TR  NON-INV WINDOW AC</t>
  </si>
  <si>
    <t>HITACHI CASSETTE AC</t>
  </si>
  <si>
    <t>RAG136HGDA3Q 3.0TR HITACHI CASSETTE AC</t>
  </si>
  <si>
    <t>RAG222HGDOQ 2.0TR HITACHI CASSETTE AC</t>
  </si>
  <si>
    <t>HITACHI DUCTABLE</t>
  </si>
  <si>
    <t>PAG066SSHDDA3 HITACHI 5.5TR DUCT AC</t>
  </si>
  <si>
    <t>PAI102HWD3Z1 8.5TR DUCTABLE AC INDOOR</t>
  </si>
  <si>
    <t>HITACHI INVERTER 3 STAR</t>
  </si>
  <si>
    <t>RAS.E318PCCIB HITACHI 1.5TR INVERTER 3 STAR SPLIT AC TOUSHI PLUS</t>
  </si>
  <si>
    <t>RAS.G312PCAISF HITACHI 1.0TR INVERTER 3 STAR IZEN</t>
  </si>
  <si>
    <t>RAS.G318PCCISS HITACHI 1.5TR 4WAY FW IZEN 3STAR SPLIT AC</t>
  </si>
  <si>
    <t>RAS.G322PCBISS 2.0TR HITACHI INVERTER 3 STAR 4 WAY IZEN</t>
  </si>
  <si>
    <t>HITACHI INVERTER 4 STAR</t>
  </si>
  <si>
    <t>RAS.V422PCAISH HITACHI 2.0TR INVERTER 4 STAR WIFI ENABLED</t>
  </si>
  <si>
    <t>HITACHI INVERTER 5 STAR</t>
  </si>
  <si>
    <t>RAS.E518PCBIB HITACHI 1.5TR INVERTER 5 STAR TOUSHI PLUS</t>
  </si>
  <si>
    <t>RAS.E518PCCIB HITACHI 1.5TR INVERTER TOUSHI PLUS 5 STAR SPLIT AC</t>
  </si>
  <si>
    <t>RAS.G518PCBISF HITACHI 1.5TR INVERTER 5 STAR YOSHI</t>
  </si>
  <si>
    <t>RAS.G518PCBISS HITACHI 1.5TR INVERTER 5 STAR YOSHI-4 WAY</t>
  </si>
  <si>
    <t>RAS.V518PCCISH1 HITACHI 1.5TR INVERTER  SPLIT AC YOSHI</t>
  </si>
  <si>
    <t>RAS.V522PCBISH1 HITACHI 2.0TR INVERTER 5 STAR YOSHI</t>
  </si>
  <si>
    <t>RAS.Y518PCAISL1  HITACHI 1.5TR INVERTER 5 STAR YOSHI</t>
  </si>
  <si>
    <t>RMA524CBEA 2.0Tr INVERTER 5 STAR</t>
  </si>
  <si>
    <t>RSRG518HEEA 1.5Tr INVERTER 5 STAR</t>
  </si>
  <si>
    <t>HITACHI INVERTER CASSETTE AC</t>
  </si>
  <si>
    <t>RAG436HGEOO HITACHI 3.0TR INVERTER CASSETTE AC</t>
  </si>
  <si>
    <t>RAG522HHEOQ 2.0TR INVERTER CASSETTE HITACHI AC</t>
  </si>
  <si>
    <t>HITACHI NON INVERTER</t>
  </si>
  <si>
    <t>RAS.B222PCAIBA HITACHI 2.0TR NON INVERTER</t>
  </si>
  <si>
    <t>RAS.B312PCAIBA1 HITACHI 1.0TR NON-INVERTER 3 STAR SPLIT AC</t>
  </si>
  <si>
    <t>RAS-B318PCAIBA 1.5TR HITACHI NON INVERTER 3 STAR</t>
  </si>
  <si>
    <t>O GENERAL CASSETTE AC</t>
  </si>
  <si>
    <t>AOGA25FBTBHB 2.0TR CASSETTE AC OUTDOOR</t>
  </si>
  <si>
    <t>AUGA25FRTA-B 2.0TR CASSTTE AC INDOOR</t>
  </si>
  <si>
    <t>O GENERAL INVERTER 3 STAR SPLIT AC</t>
  </si>
  <si>
    <t>AOGA22CLWA-B 1.8TR INVERTER 3 STAR  SPLIT AC</t>
  </si>
  <si>
    <t>AOGG12CPAA-B 1.0TR INVERTER 3 STAR  SPLIT AC</t>
  </si>
  <si>
    <t>AOGG12CPAB-B 1.0TR INVERTER 3 STAR  SPLIT AC</t>
  </si>
  <si>
    <t>AOGG18CNAA-B 1.5TR INVERTER 3 STAR  SPLIT AC</t>
  </si>
  <si>
    <t>AOGG18CPAA-B 1.5TR INVERTER 3 STAR  SPLIT AC</t>
  </si>
  <si>
    <t>AOGG18CPAB-B 1.5TR INVERTER 3 STAR SPLIT AC</t>
  </si>
  <si>
    <t>AOGG24CPAB-B 2.0TR INVERTER 3 STAR SPLIT AC</t>
  </si>
  <si>
    <t>O GENERAL INVERTER 5 STAR SPLIT AC</t>
  </si>
  <si>
    <t>AOGG12CGAA-B 1.0TR INVERTER 5 STAR  SPLIT AC</t>
  </si>
  <si>
    <t>AOGG18CEAB-B 1.5TR INVERTER 5 STAR SPLIT AC</t>
  </si>
  <si>
    <t>AOGG18CETA-B 1.5TR INVERTER 5 STAR SPLIT AC</t>
  </si>
  <si>
    <t>AOGG18CGTB-B 1.5 TR INVERTER 5 STAR SPLIT AC</t>
  </si>
  <si>
    <t>AOGG24CEAB-B 2.0TR INVERTER 5 STAR SPLIT AC</t>
  </si>
  <si>
    <t>AOGG24CGTB-B 2.0TR INVERTER 5 STAR SPLIT AC</t>
  </si>
  <si>
    <t>AOSGG18CGAA-B 1.5TR INVERTER 5 STAR SPLIT AC</t>
  </si>
  <si>
    <t>O GENERAL NON INVERTER SPLIT AC</t>
  </si>
  <si>
    <t>AOGA14BMAA-B 1.2TR NON INVERTER 3 STAR SPLIT AC</t>
  </si>
  <si>
    <t>AOGA18BUAAHB 1.5TR NON INVERTER 3 STAR SPLIT  AC</t>
  </si>
  <si>
    <t>AOGA24BMAA-B O GENRAL 2.0TR NON INVERTER 3 STAR SPLIT AC</t>
  </si>
  <si>
    <t>TOSHIBA NON INVERTER SPLIT AC</t>
  </si>
  <si>
    <t>RAS-13G3*G-IN 1.0TR NON-INV 3 STAR SPLIT AC TOSHIBA</t>
  </si>
  <si>
    <t>RAS-18G3 TOSHIBHA 1.5 TR NON INVERTER 3 STAR AC</t>
  </si>
  <si>
    <t>RAS-18J2*G-IN2 NON-INV 2 STAR SPLIT TOSHIBA</t>
  </si>
  <si>
    <t>TOSHIBA RAS-24G3 2.0 TR NON INVERTER 2 STAR</t>
  </si>
  <si>
    <t>TOSHIBHA SPLIT AC INVERTER 3 STAR</t>
  </si>
  <si>
    <t>TOSHIBA RAS-18S*CV3SG 1.5TR INVERTER 3 STAR SPLIT AC</t>
  </si>
  <si>
    <t>TOSHIBA RAS-24S*CV3SG 2.0TR INVERTER 3 STAR SPLIT AC</t>
  </si>
  <si>
    <t>TOSHIBHA SPLIT AC INVERTER 5 STAR</t>
  </si>
  <si>
    <t>RAS-13G3*CV5SG 1.0TR INVERTER 5 STAR SPLIT AC TOSHIBA</t>
  </si>
  <si>
    <t>TOSHIBA RAS-18G3*CV5SG 1.5TR INVERTER 5 STAR SPLIT AC</t>
  </si>
  <si>
    <t>TOSHIBA RAS-24G3*CV5SG 2.0TR INVERTER 5 STAR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</si>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</sst>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&quot;0"/>
    <numFmt numFmtId="165" formatCode="&quot;&quot;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/>
    <xf numFmtId="49" fontId="1" fillId="0" borderId="2" xfId="0" applyNumberFormat="1" applyFont="1" applyBorder="1" applyAlignment="1">
      <alignment vertical="top"/>
    </xf>
    <xf numFmtId="0" fontId="0" fillId="0" borderId="3" xfId="0" applyBorder="1"/>
    <xf numFmtId="49" fontId="0" fillId="0" borderId="2" xfId="0" applyNumberFormat="1" applyBorder="1" applyAlignment="1">
      <alignment vertical="top"/>
    </xf>
    <xf numFmtId="49" fontId="1" fillId="0" borderId="4" xfId="0" applyNumberFormat="1" applyFont="1" applyBorder="1" applyAlignment="1">
      <alignment vertical="top"/>
    </xf>
    <xf numFmtId="0" fontId="0" fillId="0" borderId="6" xfId="0" applyBorder="1"/>
    <xf numFmtId="49" fontId="1" fillId="0" borderId="7" xfId="0" applyNumberFormat="1" applyFont="1" applyBorder="1" applyAlignment="1">
      <alignment vertical="top"/>
    </xf>
    <xf numFmtId="0" fontId="0" fillId="0" borderId="9" xfId="0" applyBorder="1"/>
    <xf numFmtId="49" fontId="1" fillId="2" borderId="10" xfId="0" applyNumberFormat="1" applyFont="1" applyFill="1" applyBorder="1" applyAlignment="1">
      <alignment horizontal="center" vertical="center"/>
    </xf>
    <xf numFmtId="49" fontId="1" fillId="2" borderId="12" xfId="0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8" xfId="0" applyNumberFormat="1" applyBorder="1" applyAlignment="1">
      <alignment horizontal="center" vertical="top"/>
    </xf>
    <xf numFmtId="164" fontId="1" fillId="0" borderId="5" xfId="0" applyNumberFormat="1" applyFont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top"/>
    </xf>
    <xf numFmtId="165" fontId="0" fillId="0" borderId="1" xfId="0" applyNumberFormat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5.1254247661887027E-2"/>
          <c:y val="5.7866497547650868E-3"/>
          <c:w val="0.94874575233811298"/>
          <c:h val="0.984086713174396"/>
        </c:manualLayout>
      </c:layout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val>
            <c:numRef>
              <c:f>'Stock Summary'!$D$3:$D$97</c:f>
              <c:numCache>
                <c:formatCode>General</c:formatCode>
                <c:ptCount val="95"/>
                <c:pt idx="0">
                  <c:v>263728</c:v>
                </c:pt>
                <c:pt idx="1">
                  <c:v>298728</c:v>
                </c:pt>
                <c:pt idx="2">
                  <c:v>0</c:v>
                </c:pt>
                <c:pt idx="3">
                  <c:v>48560</c:v>
                </c:pt>
                <c:pt idx="4">
                  <c:v>328986</c:v>
                </c:pt>
                <c:pt idx="5">
                  <c:v>92034</c:v>
                </c:pt>
                <c:pt idx="6">
                  <c:v>0</c:v>
                </c:pt>
                <c:pt idx="7">
                  <c:v>138816</c:v>
                </c:pt>
                <c:pt idx="8">
                  <c:v>194576</c:v>
                </c:pt>
                <c:pt idx="9">
                  <c:v>322040</c:v>
                </c:pt>
                <c:pt idx="10">
                  <c:v>0</c:v>
                </c:pt>
                <c:pt idx="11">
                  <c:v>79916</c:v>
                </c:pt>
                <c:pt idx="12">
                  <c:v>91187</c:v>
                </c:pt>
                <c:pt idx="13">
                  <c:v>0</c:v>
                </c:pt>
                <c:pt idx="14">
                  <c:v>355944</c:v>
                </c:pt>
                <c:pt idx="15">
                  <c:v>225258</c:v>
                </c:pt>
                <c:pt idx="16">
                  <c:v>37204</c:v>
                </c:pt>
                <c:pt idx="17">
                  <c:v>0</c:v>
                </c:pt>
                <c:pt idx="18">
                  <c:v>148476</c:v>
                </c:pt>
                <c:pt idx="19">
                  <c:v>57290</c:v>
                </c:pt>
                <c:pt idx="20">
                  <c:v>28560</c:v>
                </c:pt>
                <c:pt idx="21">
                  <c:v>281780</c:v>
                </c:pt>
                <c:pt idx="22">
                  <c:v>145764</c:v>
                </c:pt>
                <c:pt idx="23">
                  <c:v>501872</c:v>
                </c:pt>
                <c:pt idx="24">
                  <c:v>0</c:v>
                </c:pt>
                <c:pt idx="25">
                  <c:v>63390</c:v>
                </c:pt>
                <c:pt idx="26">
                  <c:v>131868</c:v>
                </c:pt>
                <c:pt idx="27">
                  <c:v>0</c:v>
                </c:pt>
                <c:pt idx="28">
                  <c:v>95256</c:v>
                </c:pt>
                <c:pt idx="29">
                  <c:v>0</c:v>
                </c:pt>
                <c:pt idx="30">
                  <c:v>77543</c:v>
                </c:pt>
                <c:pt idx="31">
                  <c:v>228816</c:v>
                </c:pt>
                <c:pt idx="32">
                  <c:v>0</c:v>
                </c:pt>
                <c:pt idx="33">
                  <c:v>105255</c:v>
                </c:pt>
                <c:pt idx="34">
                  <c:v>50000</c:v>
                </c:pt>
                <c:pt idx="35">
                  <c:v>0</c:v>
                </c:pt>
                <c:pt idx="36">
                  <c:v>138985</c:v>
                </c:pt>
                <c:pt idx="37">
                  <c:v>77544</c:v>
                </c:pt>
                <c:pt idx="38">
                  <c:v>85170</c:v>
                </c:pt>
                <c:pt idx="39">
                  <c:v>317295</c:v>
                </c:pt>
                <c:pt idx="40">
                  <c:v>0</c:v>
                </c:pt>
                <c:pt idx="41">
                  <c:v>37712</c:v>
                </c:pt>
                <c:pt idx="42">
                  <c:v>0</c:v>
                </c:pt>
                <c:pt idx="43">
                  <c:v>98136</c:v>
                </c:pt>
                <c:pt idx="44">
                  <c:v>416442</c:v>
                </c:pt>
                <c:pt idx="45">
                  <c:v>164835</c:v>
                </c:pt>
                <c:pt idx="46">
                  <c:v>475001.92</c:v>
                </c:pt>
                <c:pt idx="47">
                  <c:v>190170</c:v>
                </c:pt>
                <c:pt idx="48">
                  <c:v>41526</c:v>
                </c:pt>
                <c:pt idx="49">
                  <c:v>35085</c:v>
                </c:pt>
                <c:pt idx="50">
                  <c:v>44916</c:v>
                </c:pt>
                <c:pt idx="51">
                  <c:v>31695</c:v>
                </c:pt>
                <c:pt idx="52">
                  <c:v>0</c:v>
                </c:pt>
                <c:pt idx="53">
                  <c:v>260595</c:v>
                </c:pt>
                <c:pt idx="54">
                  <c:v>444325</c:v>
                </c:pt>
                <c:pt idx="55">
                  <c:v>0</c:v>
                </c:pt>
                <c:pt idx="56">
                  <c:v>108306</c:v>
                </c:pt>
                <c:pt idx="57">
                  <c:v>52034</c:v>
                </c:pt>
                <c:pt idx="58">
                  <c:v>89238</c:v>
                </c:pt>
                <c:pt idx="59">
                  <c:v>0</c:v>
                </c:pt>
                <c:pt idx="60">
                  <c:v>42628</c:v>
                </c:pt>
                <c:pt idx="61">
                  <c:v>42119</c:v>
                </c:pt>
                <c:pt idx="62">
                  <c:v>0</c:v>
                </c:pt>
                <c:pt idx="63">
                  <c:v>46441</c:v>
                </c:pt>
                <c:pt idx="64">
                  <c:v>28984</c:v>
                </c:pt>
                <c:pt idx="65">
                  <c:v>86187</c:v>
                </c:pt>
                <c:pt idx="66">
                  <c:v>67798</c:v>
                </c:pt>
                <c:pt idx="67">
                  <c:v>35509</c:v>
                </c:pt>
                <c:pt idx="68">
                  <c:v>143052</c:v>
                </c:pt>
                <c:pt idx="69">
                  <c:v>576199</c:v>
                </c:pt>
                <c:pt idx="70">
                  <c:v>0</c:v>
                </c:pt>
                <c:pt idx="71">
                  <c:v>72374</c:v>
                </c:pt>
                <c:pt idx="72">
                  <c:v>139068</c:v>
                </c:pt>
                <c:pt idx="73">
                  <c:v>329833</c:v>
                </c:pt>
                <c:pt idx="74">
                  <c:v>45170</c:v>
                </c:pt>
                <c:pt idx="75">
                  <c:v>446784</c:v>
                </c:pt>
                <c:pt idx="76">
                  <c:v>277970</c:v>
                </c:pt>
                <c:pt idx="77">
                  <c:v>225425</c:v>
                </c:pt>
                <c:pt idx="78">
                  <c:v>0</c:v>
                </c:pt>
                <c:pt idx="79">
                  <c:v>31017</c:v>
                </c:pt>
                <c:pt idx="80">
                  <c:v>166444</c:v>
                </c:pt>
                <c:pt idx="81">
                  <c:v>96442</c:v>
                </c:pt>
                <c:pt idx="82">
                  <c:v>0</c:v>
                </c:pt>
                <c:pt idx="83">
                  <c:v>157632</c:v>
                </c:pt>
                <c:pt idx="84">
                  <c:v>1647243</c:v>
                </c:pt>
                <c:pt idx="85">
                  <c:v>547460</c:v>
                </c:pt>
                <c:pt idx="86">
                  <c:v>70510</c:v>
                </c:pt>
                <c:pt idx="87">
                  <c:v>0</c:v>
                </c:pt>
                <c:pt idx="88">
                  <c:v>637648</c:v>
                </c:pt>
                <c:pt idx="89">
                  <c:v>176695</c:v>
                </c:pt>
                <c:pt idx="90">
                  <c:v>0</c:v>
                </c:pt>
                <c:pt idx="91">
                  <c:v>63390</c:v>
                </c:pt>
                <c:pt idx="92">
                  <c:v>1789164</c:v>
                </c:pt>
                <c:pt idx="93">
                  <c:v>211445</c:v>
                </c:pt>
                <c:pt idx="9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3-48C0-BD8E-E117BBD7A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26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l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29304</xdr:colOff>
      <xdr:row>1</xdr:row>
      <xdr:rowOff>29305</xdr:rowOff>
    </xdr:from>
    <xdr:ext cx="23531736" cy="17557655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tabSelected="1" zoomScale="25" zoomScaleNormal="25" workbookViewId="0">
      <selection activeCell="AW38" sqref="AW38"/>
    </sheetView>
  </sheetViews>
  <sheetFormatPr defaultColWidth="9.109375" defaultRowHeight="14.4" x14ac:dyDescent="0.3"/>
  <cols>
    <col min="1" max="1" width="72.44140625" style="1" bestFit="1" customWidth="1"/>
    <col min="2" max="2" width="8.33203125" style="16" bestFit="1" customWidth="1"/>
    <col min="3" max="3" width="11.109375" style="16" customWidth="1"/>
    <col min="4" max="4" width="10" style="1" bestFit="1" customWidth="1"/>
    <col min="5" max="13" width="9.109375" style="1" customWidth="1"/>
    <col min="14" max="16384" width="9.109375" style="1"/>
  </cols>
  <sheetData>
    <row r="1" spans="1:4" ht="15" customHeight="1" thickBot="1" x14ac:dyDescent="0.35">
      <c r="A1" s="9" t="s">
        <v>0</v>
      </c>
      <c r="B1" s="11" t="s">
        <v>1</v>
      </c>
      <c r="C1" s="19" t="s">
        <v>2</v>
      </c>
      <c r="D1" s="10" t="s">
        <v>3</v>
      </c>
    </row>
    <row r="2" spans="1:4" x14ac:dyDescent="0.3">
      <c r="A2" s="7" t="s">
        <v>4</v>
      </c>
      <c r="B2" s="12"/>
      <c r="C2" s="17"/>
      <c r="D2" s="8"/>
    </row>
    <row r="3" spans="1:4" x14ac:dyDescent="0.3">
      <c r="A3" s="4" t="s">
        <v>5</v>
      </c>
      <c r="B3" s="13">
        <v>4</v>
      </c>
      <c r="C3" s="20">
        <v>65932</v>
      </c>
      <c r="D3" s="3">
        <f t="shared" ref="D3:D34" si="0">B3*C3</f>
        <v>263728</v>
      </c>
    </row>
    <row r="4" spans="1:4" x14ac:dyDescent="0.3">
      <c r="A4" s="4" t="s">
        <v>6</v>
      </c>
      <c r="B4" s="13">
        <v>3</v>
      </c>
      <c r="C4" s="20">
        <v>99576</v>
      </c>
      <c r="D4" s="3">
        <f t="shared" si="0"/>
        <v>298728</v>
      </c>
    </row>
    <row r="5" spans="1:4" x14ac:dyDescent="0.3">
      <c r="A5" s="2" t="s">
        <v>7</v>
      </c>
      <c r="B5" s="14"/>
      <c r="C5" s="21"/>
      <c r="D5" s="3">
        <f t="shared" si="0"/>
        <v>0</v>
      </c>
    </row>
    <row r="6" spans="1:4" x14ac:dyDescent="0.3">
      <c r="A6" s="4" t="s">
        <v>8</v>
      </c>
      <c r="B6" s="13">
        <v>1</v>
      </c>
      <c r="C6" s="20">
        <v>48560</v>
      </c>
      <c r="D6" s="3">
        <f t="shared" si="0"/>
        <v>48560</v>
      </c>
    </row>
    <row r="7" spans="1:4" x14ac:dyDescent="0.3">
      <c r="A7" s="4" t="s">
        <v>9</v>
      </c>
      <c r="B7" s="13">
        <v>6</v>
      </c>
      <c r="C7" s="20">
        <v>54831</v>
      </c>
      <c r="D7" s="3">
        <f t="shared" si="0"/>
        <v>328986</v>
      </c>
    </row>
    <row r="8" spans="1:4" x14ac:dyDescent="0.3">
      <c r="A8" s="4" t="s">
        <v>10</v>
      </c>
      <c r="B8" s="13">
        <v>1</v>
      </c>
      <c r="C8" s="20">
        <v>92034</v>
      </c>
      <c r="D8" s="3">
        <f t="shared" si="0"/>
        <v>92034</v>
      </c>
    </row>
    <row r="9" spans="1:4" x14ac:dyDescent="0.3">
      <c r="A9" s="2" t="s">
        <v>11</v>
      </c>
      <c r="B9" s="14"/>
      <c r="C9" s="21"/>
      <c r="D9" s="3">
        <f t="shared" si="0"/>
        <v>0</v>
      </c>
    </row>
    <row r="10" spans="1:4" x14ac:dyDescent="0.3">
      <c r="A10" s="4" t="s">
        <v>12</v>
      </c>
      <c r="B10" s="13">
        <v>6</v>
      </c>
      <c r="C10" s="20">
        <v>23136</v>
      </c>
      <c r="D10" s="3">
        <f t="shared" si="0"/>
        <v>138816</v>
      </c>
    </row>
    <row r="11" spans="1:4" x14ac:dyDescent="0.3">
      <c r="A11" s="4" t="s">
        <v>13</v>
      </c>
      <c r="B11" s="13">
        <v>8</v>
      </c>
      <c r="C11" s="20">
        <v>24322</v>
      </c>
      <c r="D11" s="3">
        <f t="shared" si="0"/>
        <v>194576</v>
      </c>
    </row>
    <row r="12" spans="1:4" x14ac:dyDescent="0.3">
      <c r="A12" s="4" t="s">
        <v>14</v>
      </c>
      <c r="B12" s="13">
        <v>10</v>
      </c>
      <c r="C12" s="20">
        <v>32204</v>
      </c>
      <c r="D12" s="3">
        <f t="shared" si="0"/>
        <v>322040</v>
      </c>
    </row>
    <row r="13" spans="1:4" x14ac:dyDescent="0.3">
      <c r="A13" s="2" t="s">
        <v>15</v>
      </c>
      <c r="B13" s="14"/>
      <c r="C13" s="21"/>
      <c r="D13" s="3">
        <f t="shared" si="0"/>
        <v>0</v>
      </c>
    </row>
    <row r="14" spans="1:4" x14ac:dyDescent="0.3">
      <c r="A14" s="4" t="s">
        <v>16</v>
      </c>
      <c r="B14" s="13">
        <v>1</v>
      </c>
      <c r="C14" s="20">
        <v>79916</v>
      </c>
      <c r="D14" s="3">
        <f t="shared" si="0"/>
        <v>79916</v>
      </c>
    </row>
    <row r="15" spans="1:4" x14ac:dyDescent="0.3">
      <c r="A15" s="4" t="s">
        <v>17</v>
      </c>
      <c r="B15" s="13">
        <v>1</v>
      </c>
      <c r="C15" s="20">
        <v>91187</v>
      </c>
      <c r="D15" s="3">
        <f t="shared" si="0"/>
        <v>91187</v>
      </c>
    </row>
    <row r="16" spans="1:4" x14ac:dyDescent="0.3">
      <c r="A16" s="2" t="s">
        <v>18</v>
      </c>
      <c r="B16" s="14"/>
      <c r="C16" s="21"/>
      <c r="D16" s="3">
        <f t="shared" si="0"/>
        <v>0</v>
      </c>
    </row>
    <row r="17" spans="1:4" x14ac:dyDescent="0.3">
      <c r="A17" s="4" t="s">
        <v>19</v>
      </c>
      <c r="B17" s="13">
        <v>12</v>
      </c>
      <c r="C17" s="20">
        <v>29662</v>
      </c>
      <c r="D17" s="3">
        <f t="shared" si="0"/>
        <v>355944</v>
      </c>
    </row>
    <row r="18" spans="1:4" x14ac:dyDescent="0.3">
      <c r="A18" s="4" t="s">
        <v>20</v>
      </c>
      <c r="B18" s="13">
        <v>6</v>
      </c>
      <c r="C18" s="20">
        <v>37543</v>
      </c>
      <c r="D18" s="3">
        <f t="shared" si="0"/>
        <v>225258</v>
      </c>
    </row>
    <row r="19" spans="1:4" x14ac:dyDescent="0.3">
      <c r="A19" s="4" t="s">
        <v>21</v>
      </c>
      <c r="B19" s="13">
        <v>1</v>
      </c>
      <c r="C19" s="20">
        <v>37204</v>
      </c>
      <c r="D19" s="3">
        <f t="shared" si="0"/>
        <v>37204</v>
      </c>
    </row>
    <row r="20" spans="1:4" x14ac:dyDescent="0.3">
      <c r="A20" s="2" t="s">
        <v>22</v>
      </c>
      <c r="B20" s="14"/>
      <c r="C20" s="21"/>
      <c r="D20" s="3">
        <f t="shared" si="0"/>
        <v>0</v>
      </c>
    </row>
    <row r="21" spans="1:4" x14ac:dyDescent="0.3">
      <c r="A21" s="4" t="s">
        <v>23</v>
      </c>
      <c r="B21" s="13">
        <v>6</v>
      </c>
      <c r="C21" s="20">
        <v>24746</v>
      </c>
      <c r="D21" s="3">
        <f t="shared" si="0"/>
        <v>148476</v>
      </c>
    </row>
    <row r="22" spans="1:4" x14ac:dyDescent="0.3">
      <c r="A22" s="4" t="s">
        <v>24</v>
      </c>
      <c r="B22" s="13">
        <v>2</v>
      </c>
      <c r="C22" s="20">
        <v>28645</v>
      </c>
      <c r="D22" s="3">
        <f t="shared" si="0"/>
        <v>57290</v>
      </c>
    </row>
    <row r="23" spans="1:4" x14ac:dyDescent="0.3">
      <c r="A23" s="4" t="s">
        <v>25</v>
      </c>
      <c r="B23" s="13">
        <v>1</v>
      </c>
      <c r="C23" s="20">
        <v>28560</v>
      </c>
      <c r="D23" s="3">
        <f t="shared" si="0"/>
        <v>28560</v>
      </c>
    </row>
    <row r="24" spans="1:4" x14ac:dyDescent="0.3">
      <c r="A24" s="4" t="s">
        <v>26</v>
      </c>
      <c r="B24" s="13">
        <v>10</v>
      </c>
      <c r="C24" s="20">
        <v>28178</v>
      </c>
      <c r="D24" s="3">
        <f t="shared" si="0"/>
        <v>281780</v>
      </c>
    </row>
    <row r="25" spans="1:4" x14ac:dyDescent="0.3">
      <c r="A25" s="4" t="s">
        <v>27</v>
      </c>
      <c r="B25" s="13">
        <v>4</v>
      </c>
      <c r="C25" s="20">
        <v>36441</v>
      </c>
      <c r="D25" s="3">
        <f t="shared" si="0"/>
        <v>145764</v>
      </c>
    </row>
    <row r="26" spans="1:4" x14ac:dyDescent="0.3">
      <c r="A26" s="4" t="s">
        <v>28</v>
      </c>
      <c r="B26" s="13">
        <v>14</v>
      </c>
      <c r="C26" s="20">
        <v>35848</v>
      </c>
      <c r="D26" s="3">
        <f t="shared" si="0"/>
        <v>501872</v>
      </c>
    </row>
    <row r="27" spans="1:4" x14ac:dyDescent="0.3">
      <c r="A27" s="2" t="s">
        <v>29</v>
      </c>
      <c r="B27" s="14"/>
      <c r="C27" s="21"/>
      <c r="D27" s="3">
        <f t="shared" si="0"/>
        <v>0</v>
      </c>
    </row>
    <row r="28" spans="1:4" x14ac:dyDescent="0.3">
      <c r="A28" s="4" t="s">
        <v>30</v>
      </c>
      <c r="B28" s="13">
        <v>2</v>
      </c>
      <c r="C28" s="20">
        <v>31695</v>
      </c>
      <c r="D28" s="3">
        <f t="shared" si="0"/>
        <v>63390</v>
      </c>
    </row>
    <row r="29" spans="1:4" x14ac:dyDescent="0.3">
      <c r="A29" s="4" t="s">
        <v>31</v>
      </c>
      <c r="B29" s="13">
        <v>4</v>
      </c>
      <c r="C29" s="20">
        <v>32967</v>
      </c>
      <c r="D29" s="3">
        <f t="shared" si="0"/>
        <v>131868</v>
      </c>
    </row>
    <row r="30" spans="1:4" x14ac:dyDescent="0.3">
      <c r="A30" s="2" t="s">
        <v>32</v>
      </c>
      <c r="B30" s="14"/>
      <c r="C30" s="21"/>
      <c r="D30" s="3">
        <f t="shared" si="0"/>
        <v>0</v>
      </c>
    </row>
    <row r="31" spans="1:4" x14ac:dyDescent="0.3">
      <c r="A31" s="4" t="s">
        <v>33</v>
      </c>
      <c r="B31" s="13">
        <v>4</v>
      </c>
      <c r="C31" s="20">
        <v>23814</v>
      </c>
      <c r="D31" s="3">
        <f t="shared" si="0"/>
        <v>95256</v>
      </c>
    </row>
    <row r="32" spans="1:4" x14ac:dyDescent="0.3">
      <c r="A32" s="2" t="s">
        <v>34</v>
      </c>
      <c r="B32" s="14"/>
      <c r="C32" s="21"/>
      <c r="D32" s="3">
        <f t="shared" si="0"/>
        <v>0</v>
      </c>
    </row>
    <row r="33" spans="1:4" x14ac:dyDescent="0.3">
      <c r="A33" s="4" t="s">
        <v>35</v>
      </c>
      <c r="B33" s="13">
        <v>1</v>
      </c>
      <c r="C33" s="20">
        <v>77543</v>
      </c>
      <c r="D33" s="3">
        <f t="shared" si="0"/>
        <v>77543</v>
      </c>
    </row>
    <row r="34" spans="1:4" x14ac:dyDescent="0.3">
      <c r="A34" s="4" t="s">
        <v>36</v>
      </c>
      <c r="B34" s="13">
        <v>4</v>
      </c>
      <c r="C34" s="20">
        <v>57204</v>
      </c>
      <c r="D34" s="3">
        <f t="shared" si="0"/>
        <v>228816</v>
      </c>
    </row>
    <row r="35" spans="1:4" x14ac:dyDescent="0.3">
      <c r="A35" s="2" t="s">
        <v>37</v>
      </c>
      <c r="B35" s="14"/>
      <c r="C35" s="21"/>
      <c r="D35" s="3">
        <f t="shared" ref="D35:D66" si="1">B35*C35</f>
        <v>0</v>
      </c>
    </row>
    <row r="36" spans="1:4" x14ac:dyDescent="0.3">
      <c r="A36" s="4" t="s">
        <v>38</v>
      </c>
      <c r="B36" s="13">
        <v>1</v>
      </c>
      <c r="C36" s="20">
        <v>105255</v>
      </c>
      <c r="D36" s="3">
        <f t="shared" si="1"/>
        <v>105255</v>
      </c>
    </row>
    <row r="37" spans="1:4" x14ac:dyDescent="0.3">
      <c r="A37" s="4" t="s">
        <v>39</v>
      </c>
      <c r="B37" s="13">
        <v>1</v>
      </c>
      <c r="C37" s="20">
        <v>50000</v>
      </c>
      <c r="D37" s="3">
        <f t="shared" si="1"/>
        <v>50000</v>
      </c>
    </row>
    <row r="38" spans="1:4" x14ac:dyDescent="0.3">
      <c r="A38" s="2" t="s">
        <v>40</v>
      </c>
      <c r="B38" s="14"/>
      <c r="C38" s="21"/>
      <c r="D38" s="3">
        <f t="shared" si="1"/>
        <v>0</v>
      </c>
    </row>
    <row r="39" spans="1:4" x14ac:dyDescent="0.3">
      <c r="A39" s="4" t="s">
        <v>41</v>
      </c>
      <c r="B39" s="13">
        <v>5</v>
      </c>
      <c r="C39" s="20">
        <v>27797</v>
      </c>
      <c r="D39" s="3">
        <f t="shared" si="1"/>
        <v>138985</v>
      </c>
    </row>
    <row r="40" spans="1:4" x14ac:dyDescent="0.3">
      <c r="A40" s="4" t="s">
        <v>42</v>
      </c>
      <c r="B40" s="13">
        <v>3</v>
      </c>
      <c r="C40" s="20">
        <v>25848</v>
      </c>
      <c r="D40" s="3">
        <f t="shared" si="1"/>
        <v>77544</v>
      </c>
    </row>
    <row r="41" spans="1:4" x14ac:dyDescent="0.3">
      <c r="A41" s="4" t="s">
        <v>43</v>
      </c>
      <c r="B41" s="13">
        <v>3</v>
      </c>
      <c r="C41" s="20">
        <v>28390</v>
      </c>
      <c r="D41" s="3">
        <f t="shared" si="1"/>
        <v>85170</v>
      </c>
    </row>
    <row r="42" spans="1:4" x14ac:dyDescent="0.3">
      <c r="A42" s="4" t="s">
        <v>44</v>
      </c>
      <c r="B42" s="13">
        <v>9</v>
      </c>
      <c r="C42" s="20">
        <v>35255</v>
      </c>
      <c r="D42" s="3">
        <f t="shared" si="1"/>
        <v>317295</v>
      </c>
    </row>
    <row r="43" spans="1:4" x14ac:dyDescent="0.3">
      <c r="A43" s="2" t="s">
        <v>45</v>
      </c>
      <c r="B43" s="14"/>
      <c r="C43" s="21"/>
      <c r="D43" s="3">
        <f t="shared" si="1"/>
        <v>0</v>
      </c>
    </row>
    <row r="44" spans="1:4" x14ac:dyDescent="0.3">
      <c r="A44" s="4" t="s">
        <v>46</v>
      </c>
      <c r="B44" s="13">
        <v>1</v>
      </c>
      <c r="C44" s="20">
        <v>37712</v>
      </c>
      <c r="D44" s="3">
        <f t="shared" si="1"/>
        <v>37712</v>
      </c>
    </row>
    <row r="45" spans="1:4" x14ac:dyDescent="0.3">
      <c r="A45" s="2" t="s">
        <v>47</v>
      </c>
      <c r="B45" s="14"/>
      <c r="C45" s="21"/>
      <c r="D45" s="3">
        <f t="shared" si="1"/>
        <v>0</v>
      </c>
    </row>
    <row r="46" spans="1:4" x14ac:dyDescent="0.3">
      <c r="A46" s="4" t="s">
        <v>48</v>
      </c>
      <c r="B46" s="13">
        <v>3</v>
      </c>
      <c r="C46" s="20">
        <v>32712</v>
      </c>
      <c r="D46" s="3">
        <f t="shared" si="1"/>
        <v>98136</v>
      </c>
    </row>
    <row r="47" spans="1:4" x14ac:dyDescent="0.3">
      <c r="A47" s="4" t="s">
        <v>49</v>
      </c>
      <c r="B47" s="13">
        <v>13</v>
      </c>
      <c r="C47" s="20">
        <v>32034</v>
      </c>
      <c r="D47" s="3">
        <f t="shared" si="1"/>
        <v>416442</v>
      </c>
    </row>
    <row r="48" spans="1:4" x14ac:dyDescent="0.3">
      <c r="A48" s="4" t="s">
        <v>50</v>
      </c>
      <c r="B48" s="13">
        <v>5</v>
      </c>
      <c r="C48" s="20">
        <v>32967</v>
      </c>
      <c r="D48" s="3">
        <f t="shared" si="1"/>
        <v>164835</v>
      </c>
    </row>
    <row r="49" spans="1:4" x14ac:dyDescent="0.3">
      <c r="A49" s="4" t="s">
        <v>51</v>
      </c>
      <c r="B49" s="13">
        <v>16</v>
      </c>
      <c r="C49" s="20">
        <v>29687.62</v>
      </c>
      <c r="D49" s="3">
        <f t="shared" si="1"/>
        <v>475001.92</v>
      </c>
    </row>
    <row r="50" spans="1:4" x14ac:dyDescent="0.3">
      <c r="A50" s="4" t="s">
        <v>52</v>
      </c>
      <c r="B50" s="13">
        <v>6</v>
      </c>
      <c r="C50" s="20">
        <v>31695</v>
      </c>
      <c r="D50" s="3">
        <f t="shared" si="1"/>
        <v>190170</v>
      </c>
    </row>
    <row r="51" spans="1:4" x14ac:dyDescent="0.3">
      <c r="A51" s="4" t="s">
        <v>53</v>
      </c>
      <c r="B51" s="13">
        <v>1</v>
      </c>
      <c r="C51" s="20">
        <v>41526</v>
      </c>
      <c r="D51" s="3">
        <f t="shared" si="1"/>
        <v>41526</v>
      </c>
    </row>
    <row r="52" spans="1:4" x14ac:dyDescent="0.3">
      <c r="A52" s="4" t="s">
        <v>54</v>
      </c>
      <c r="B52" s="13">
        <v>1</v>
      </c>
      <c r="C52" s="20">
        <v>35085</v>
      </c>
      <c r="D52" s="3">
        <f t="shared" si="1"/>
        <v>35085</v>
      </c>
    </row>
    <row r="53" spans="1:4" x14ac:dyDescent="0.3">
      <c r="A53" s="4" t="s">
        <v>55</v>
      </c>
      <c r="B53" s="13">
        <v>1</v>
      </c>
      <c r="C53" s="20">
        <v>44916</v>
      </c>
      <c r="D53" s="3">
        <f t="shared" si="1"/>
        <v>44916</v>
      </c>
    </row>
    <row r="54" spans="1:4" x14ac:dyDescent="0.3">
      <c r="A54" s="4" t="s">
        <v>56</v>
      </c>
      <c r="B54" s="13">
        <v>1</v>
      </c>
      <c r="C54" s="20">
        <v>31695</v>
      </c>
      <c r="D54" s="3">
        <f t="shared" si="1"/>
        <v>31695</v>
      </c>
    </row>
    <row r="55" spans="1:4" x14ac:dyDescent="0.3">
      <c r="A55" s="2" t="s">
        <v>57</v>
      </c>
      <c r="B55" s="14"/>
      <c r="C55" s="21"/>
      <c r="D55" s="3">
        <f t="shared" si="1"/>
        <v>0</v>
      </c>
    </row>
    <row r="56" spans="1:4" x14ac:dyDescent="0.3">
      <c r="A56" s="4" t="s">
        <v>58</v>
      </c>
      <c r="B56" s="13">
        <v>3</v>
      </c>
      <c r="C56" s="20">
        <v>86865</v>
      </c>
      <c r="D56" s="3">
        <f t="shared" si="1"/>
        <v>260595</v>
      </c>
    </row>
    <row r="57" spans="1:4" x14ac:dyDescent="0.3">
      <c r="A57" s="4" t="s">
        <v>59</v>
      </c>
      <c r="B57" s="13">
        <v>7</v>
      </c>
      <c r="C57" s="20">
        <v>63475</v>
      </c>
      <c r="D57" s="3">
        <f t="shared" si="1"/>
        <v>444325</v>
      </c>
    </row>
    <row r="58" spans="1:4" x14ac:dyDescent="0.3">
      <c r="A58" s="2" t="s">
        <v>60</v>
      </c>
      <c r="B58" s="14"/>
      <c r="C58" s="21"/>
      <c r="D58" s="3">
        <f t="shared" si="1"/>
        <v>0</v>
      </c>
    </row>
    <row r="59" spans="1:4" x14ac:dyDescent="0.3">
      <c r="A59" s="4" t="s">
        <v>61</v>
      </c>
      <c r="B59" s="13">
        <v>3</v>
      </c>
      <c r="C59" s="20">
        <v>36102</v>
      </c>
      <c r="D59" s="3">
        <f t="shared" si="1"/>
        <v>108306</v>
      </c>
    </row>
    <row r="60" spans="1:4" x14ac:dyDescent="0.3">
      <c r="A60" s="4" t="s">
        <v>62</v>
      </c>
      <c r="B60" s="13">
        <v>2</v>
      </c>
      <c r="C60" s="20">
        <v>26017</v>
      </c>
      <c r="D60" s="3">
        <f t="shared" si="1"/>
        <v>52034</v>
      </c>
    </row>
    <row r="61" spans="1:4" x14ac:dyDescent="0.3">
      <c r="A61" s="4" t="s">
        <v>63</v>
      </c>
      <c r="B61" s="13">
        <v>3</v>
      </c>
      <c r="C61" s="20">
        <v>29746</v>
      </c>
      <c r="D61" s="3">
        <f t="shared" si="1"/>
        <v>89238</v>
      </c>
    </row>
    <row r="62" spans="1:4" x14ac:dyDescent="0.3">
      <c r="A62" s="2" t="s">
        <v>64</v>
      </c>
      <c r="B62" s="14"/>
      <c r="C62" s="21"/>
      <c r="D62" s="3">
        <f t="shared" si="1"/>
        <v>0</v>
      </c>
    </row>
    <row r="63" spans="1:4" x14ac:dyDescent="0.3">
      <c r="A63" s="4" t="s">
        <v>65</v>
      </c>
      <c r="B63" s="13">
        <v>1</v>
      </c>
      <c r="C63" s="20">
        <v>42628</v>
      </c>
      <c r="D63" s="3">
        <f t="shared" si="1"/>
        <v>42628</v>
      </c>
    </row>
    <row r="64" spans="1:4" x14ac:dyDescent="0.3">
      <c r="A64" s="4" t="s">
        <v>66</v>
      </c>
      <c r="B64" s="13">
        <v>1</v>
      </c>
      <c r="C64" s="20">
        <v>42119</v>
      </c>
      <c r="D64" s="3">
        <f t="shared" si="1"/>
        <v>42119</v>
      </c>
    </row>
    <row r="65" spans="1:4" x14ac:dyDescent="0.3">
      <c r="A65" s="2" t="s">
        <v>67</v>
      </c>
      <c r="B65" s="14"/>
      <c r="C65" s="21"/>
      <c r="D65" s="3">
        <f t="shared" si="1"/>
        <v>0</v>
      </c>
    </row>
    <row r="66" spans="1:4" x14ac:dyDescent="0.3">
      <c r="A66" s="4" t="s">
        <v>68</v>
      </c>
      <c r="B66" s="13">
        <v>1</v>
      </c>
      <c r="C66" s="20">
        <v>46441</v>
      </c>
      <c r="D66" s="3">
        <f t="shared" si="1"/>
        <v>46441</v>
      </c>
    </row>
    <row r="67" spans="1:4" x14ac:dyDescent="0.3">
      <c r="A67" s="4" t="s">
        <v>69</v>
      </c>
      <c r="B67" s="13">
        <v>1</v>
      </c>
      <c r="C67" s="20">
        <v>28984</v>
      </c>
      <c r="D67" s="3">
        <f t="shared" ref="D67:D98" si="2">B67*C67</f>
        <v>28984</v>
      </c>
    </row>
    <row r="68" spans="1:4" x14ac:dyDescent="0.3">
      <c r="A68" s="4" t="s">
        <v>70</v>
      </c>
      <c r="B68" s="13">
        <v>3</v>
      </c>
      <c r="C68" s="20">
        <v>28729</v>
      </c>
      <c r="D68" s="3">
        <f t="shared" si="2"/>
        <v>86187</v>
      </c>
    </row>
    <row r="69" spans="1:4" x14ac:dyDescent="0.3">
      <c r="A69" s="4" t="s">
        <v>71</v>
      </c>
      <c r="B69" s="13">
        <v>2</v>
      </c>
      <c r="C69" s="20">
        <v>33899</v>
      </c>
      <c r="D69" s="3">
        <f t="shared" si="2"/>
        <v>67798</v>
      </c>
    </row>
    <row r="70" spans="1:4" x14ac:dyDescent="0.3">
      <c r="A70" s="4" t="s">
        <v>72</v>
      </c>
      <c r="B70" s="13">
        <v>1</v>
      </c>
      <c r="C70" s="20">
        <v>35509</v>
      </c>
      <c r="D70" s="3">
        <f t="shared" si="2"/>
        <v>35509</v>
      </c>
    </row>
    <row r="71" spans="1:4" x14ac:dyDescent="0.3">
      <c r="A71" s="4" t="s">
        <v>73</v>
      </c>
      <c r="B71" s="13">
        <v>4</v>
      </c>
      <c r="C71" s="20">
        <v>35763</v>
      </c>
      <c r="D71" s="3">
        <f t="shared" si="2"/>
        <v>143052</v>
      </c>
    </row>
    <row r="72" spans="1:4" x14ac:dyDescent="0.3">
      <c r="A72" s="4" t="s">
        <v>74</v>
      </c>
      <c r="B72" s="13">
        <v>13</v>
      </c>
      <c r="C72" s="20">
        <v>44323</v>
      </c>
      <c r="D72" s="3">
        <f t="shared" si="2"/>
        <v>576199</v>
      </c>
    </row>
    <row r="73" spans="1:4" x14ac:dyDescent="0.3">
      <c r="A73" s="2" t="s">
        <v>75</v>
      </c>
      <c r="B73" s="14"/>
      <c r="C73" s="21"/>
      <c r="D73" s="3">
        <f t="shared" si="2"/>
        <v>0</v>
      </c>
    </row>
    <row r="74" spans="1:4" x14ac:dyDescent="0.3">
      <c r="A74" s="4" t="s">
        <v>76</v>
      </c>
      <c r="B74" s="13">
        <v>2</v>
      </c>
      <c r="C74" s="20">
        <v>36187</v>
      </c>
      <c r="D74" s="3">
        <f t="shared" si="2"/>
        <v>72374</v>
      </c>
    </row>
    <row r="75" spans="1:4" x14ac:dyDescent="0.3">
      <c r="A75" s="4" t="s">
        <v>77</v>
      </c>
      <c r="B75" s="13">
        <v>3</v>
      </c>
      <c r="C75" s="20">
        <v>46356</v>
      </c>
      <c r="D75" s="3">
        <f t="shared" si="2"/>
        <v>139068</v>
      </c>
    </row>
    <row r="76" spans="1:4" x14ac:dyDescent="0.3">
      <c r="A76" s="4" t="s">
        <v>78</v>
      </c>
      <c r="B76" s="13">
        <v>7</v>
      </c>
      <c r="C76" s="20">
        <v>47119</v>
      </c>
      <c r="D76" s="3">
        <f t="shared" si="2"/>
        <v>329833</v>
      </c>
    </row>
    <row r="77" spans="1:4" x14ac:dyDescent="0.3">
      <c r="A77" s="4" t="s">
        <v>79</v>
      </c>
      <c r="B77" s="13">
        <v>1</v>
      </c>
      <c r="C77" s="20">
        <v>45170</v>
      </c>
      <c r="D77" s="3">
        <f t="shared" si="2"/>
        <v>45170</v>
      </c>
    </row>
    <row r="78" spans="1:4" x14ac:dyDescent="0.3">
      <c r="A78" s="4" t="s">
        <v>80</v>
      </c>
      <c r="B78" s="13">
        <v>8</v>
      </c>
      <c r="C78" s="20">
        <v>55848</v>
      </c>
      <c r="D78" s="3">
        <f t="shared" si="2"/>
        <v>446784</v>
      </c>
    </row>
    <row r="79" spans="1:4" x14ac:dyDescent="0.3">
      <c r="A79" s="4" t="s">
        <v>81</v>
      </c>
      <c r="B79" s="13">
        <v>5</v>
      </c>
      <c r="C79" s="20">
        <v>55594</v>
      </c>
      <c r="D79" s="3">
        <f t="shared" si="2"/>
        <v>277970</v>
      </c>
    </row>
    <row r="80" spans="1:4" x14ac:dyDescent="0.3">
      <c r="A80" s="4" t="s">
        <v>82</v>
      </c>
      <c r="B80" s="13">
        <v>5</v>
      </c>
      <c r="C80" s="20">
        <v>45085</v>
      </c>
      <c r="D80" s="3">
        <f t="shared" si="2"/>
        <v>225425</v>
      </c>
    </row>
    <row r="81" spans="1:4" x14ac:dyDescent="0.3">
      <c r="A81" s="2" t="s">
        <v>83</v>
      </c>
      <c r="B81" s="14"/>
      <c r="C81" s="21"/>
      <c r="D81" s="3">
        <f t="shared" si="2"/>
        <v>0</v>
      </c>
    </row>
    <row r="82" spans="1:4" x14ac:dyDescent="0.3">
      <c r="A82" s="4" t="s">
        <v>84</v>
      </c>
      <c r="B82" s="13">
        <v>1</v>
      </c>
      <c r="C82" s="20">
        <v>31017</v>
      </c>
      <c r="D82" s="3">
        <f t="shared" si="2"/>
        <v>31017</v>
      </c>
    </row>
    <row r="83" spans="1:4" x14ac:dyDescent="0.3">
      <c r="A83" s="4" t="s">
        <v>85</v>
      </c>
      <c r="B83" s="13">
        <v>4</v>
      </c>
      <c r="C83" s="20">
        <v>41611</v>
      </c>
      <c r="D83" s="3">
        <f t="shared" si="2"/>
        <v>166444</v>
      </c>
    </row>
    <row r="84" spans="1:4" x14ac:dyDescent="0.3">
      <c r="A84" s="4" t="s">
        <v>86</v>
      </c>
      <c r="B84" s="13">
        <v>2</v>
      </c>
      <c r="C84" s="20">
        <v>48221</v>
      </c>
      <c r="D84" s="3">
        <f t="shared" si="2"/>
        <v>96442</v>
      </c>
    </row>
    <row r="85" spans="1:4" x14ac:dyDescent="0.3">
      <c r="A85" s="2" t="s">
        <v>87</v>
      </c>
      <c r="B85" s="14"/>
      <c r="C85" s="21"/>
      <c r="D85" s="3">
        <f t="shared" si="2"/>
        <v>0</v>
      </c>
    </row>
    <row r="86" spans="1:4" x14ac:dyDescent="0.3">
      <c r="A86" s="4" t="s">
        <v>88</v>
      </c>
      <c r="B86" s="13">
        <v>6</v>
      </c>
      <c r="C86" s="20">
        <v>26272</v>
      </c>
      <c r="D86" s="3">
        <f t="shared" si="2"/>
        <v>157632</v>
      </c>
    </row>
    <row r="87" spans="1:4" x14ac:dyDescent="0.3">
      <c r="A87" s="4" t="s">
        <v>89</v>
      </c>
      <c r="B87" s="13">
        <v>57</v>
      </c>
      <c r="C87" s="20">
        <v>28899</v>
      </c>
      <c r="D87" s="3">
        <f t="shared" si="2"/>
        <v>1647243</v>
      </c>
    </row>
    <row r="88" spans="1:4" x14ac:dyDescent="0.3">
      <c r="A88" s="4" t="s">
        <v>90</v>
      </c>
      <c r="B88" s="13">
        <v>20</v>
      </c>
      <c r="C88" s="20">
        <v>27373</v>
      </c>
      <c r="D88" s="3">
        <f t="shared" si="2"/>
        <v>547460</v>
      </c>
    </row>
    <row r="89" spans="1:4" x14ac:dyDescent="0.3">
      <c r="A89" s="4" t="s">
        <v>91</v>
      </c>
      <c r="B89" s="13">
        <v>2</v>
      </c>
      <c r="C89" s="20">
        <v>35255</v>
      </c>
      <c r="D89" s="3">
        <f t="shared" si="2"/>
        <v>70510</v>
      </c>
    </row>
    <row r="90" spans="1:4" x14ac:dyDescent="0.3">
      <c r="A90" s="2" t="s">
        <v>92</v>
      </c>
      <c r="B90" s="14"/>
      <c r="C90" s="21"/>
      <c r="D90" s="3">
        <f t="shared" si="2"/>
        <v>0</v>
      </c>
    </row>
    <row r="91" spans="1:4" x14ac:dyDescent="0.3">
      <c r="A91" s="4" t="s">
        <v>93</v>
      </c>
      <c r="B91" s="13">
        <v>22</v>
      </c>
      <c r="C91" s="20">
        <v>28984</v>
      </c>
      <c r="D91" s="3">
        <f t="shared" si="2"/>
        <v>637648</v>
      </c>
    </row>
    <row r="92" spans="1:4" x14ac:dyDescent="0.3">
      <c r="A92" s="4" t="s">
        <v>94</v>
      </c>
      <c r="B92" s="13">
        <v>5</v>
      </c>
      <c r="C92" s="20">
        <v>35339</v>
      </c>
      <c r="D92" s="3">
        <f t="shared" si="2"/>
        <v>176695</v>
      </c>
    </row>
    <row r="93" spans="1:4" x14ac:dyDescent="0.3">
      <c r="A93" s="2" t="s">
        <v>95</v>
      </c>
      <c r="B93" s="14"/>
      <c r="C93" s="21"/>
      <c r="D93" s="3">
        <f t="shared" si="2"/>
        <v>0</v>
      </c>
    </row>
    <row r="94" spans="1:4" x14ac:dyDescent="0.3">
      <c r="A94" s="4" t="s">
        <v>96</v>
      </c>
      <c r="B94" s="13">
        <v>2</v>
      </c>
      <c r="C94" s="20">
        <v>31695</v>
      </c>
      <c r="D94" s="3">
        <f t="shared" si="2"/>
        <v>63390</v>
      </c>
    </row>
    <row r="95" spans="1:4" x14ac:dyDescent="0.3">
      <c r="A95" s="4" t="s">
        <v>97</v>
      </c>
      <c r="B95" s="13">
        <v>52</v>
      </c>
      <c r="C95" s="20">
        <v>34407</v>
      </c>
      <c r="D95" s="3">
        <f t="shared" si="2"/>
        <v>1789164</v>
      </c>
    </row>
    <row r="96" spans="1:4" x14ac:dyDescent="0.3">
      <c r="A96" s="4" t="s">
        <v>98</v>
      </c>
      <c r="B96" s="13">
        <v>5</v>
      </c>
      <c r="C96" s="20">
        <v>42289</v>
      </c>
      <c r="D96" s="3">
        <f t="shared" si="2"/>
        <v>211445</v>
      </c>
    </row>
    <row r="97" spans="1:4" ht="15" customHeight="1" thickBot="1" x14ac:dyDescent="0.35">
      <c r="A97" s="5" t="s">
        <v>99</v>
      </c>
      <c r="B97" s="15">
        <f>SUM(B2:B96)</f>
        <v>436</v>
      </c>
      <c r="C97" s="18"/>
      <c r="D97" s="6">
        <f t="shared" si="2"/>
        <v>0</v>
      </c>
    </row>
  </sheetData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AIRCON</dc:creator>
  <cp:lastModifiedBy>user</cp:lastModifiedBy>
  <dcterms:created xsi:type="dcterms:W3CDTF">2025-09-20T08:27:17Z</dcterms:created>
  <dcterms:modified xsi:type="dcterms:W3CDTF">2026-06-17T09:55:32Z</dcterms:modified>
</cp:coreProperties>
</file>